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>
      <x15ac:absPath xmlns:x15ac="http://schemas.microsoft.com/office/spreadsheetml/2010/11/ac" url="C:\Users\Martinez\Downloads\Compressed\nomina_java_app\nomina_java_app\"/>
    </mc:Choice>
  </mc:AlternateContent>
  <xr:revisionPtr revIDLastSave="0" documentId="13_ncr:1_{7DDA08B2-B5E7-43FA-ADB0-965AAE92FA14}" xr6:coauthVersionLast="47" xr6:coauthVersionMax="47" xr10:uidLastSave="{00000000-0000-0000-0000-000000000000}"/>
  <bookViews>
    <workbookView xWindow="-98" yWindow="-98" windowWidth="21795" windowHeight="13875" activeTab="6" xr2:uid="{00000000-000D-0000-FFFF-FFFF00000000}"/>
  </bookViews>
  <sheets>
    <sheet name="README" sheetId="1" r:id="rId1"/>
    <sheet name="Configuracion" sheetId="2" r:id="rId2"/>
    <sheet name="Puestos" sheetId="3" r:id="rId3"/>
    <sheet name="Plazas" sheetId="4" r:id="rId4"/>
    <sheet name="Conceptos_Pago" sheetId="5" r:id="rId5"/>
    <sheet name="Deducciones" sheetId="6" r:id="rId6"/>
    <sheet name="Empleados" sheetId="7" r:id="rId7"/>
    <sheet name="Movimientos" sheetId="8" r:id="rId8"/>
    <sheet name="Calculo_Individual" sheetId="9" r:id="rId9"/>
    <sheet name="Nomina_General" sheetId="10" r:id="rId10"/>
    <sheet name="usuario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4" i="10" l="1"/>
  <c r="A203" i="10"/>
  <c r="K202" i="10"/>
  <c r="C202" i="10"/>
  <c r="B202" i="10"/>
  <c r="A202" i="10"/>
  <c r="A201" i="10"/>
  <c r="N201" i="10" s="1"/>
  <c r="A200" i="10"/>
  <c r="A199" i="10"/>
  <c r="N198" i="10"/>
  <c r="M198" i="10"/>
  <c r="L198" i="10"/>
  <c r="A198" i="10"/>
  <c r="H198" i="10" s="1"/>
  <c r="N197" i="10"/>
  <c r="M197" i="10"/>
  <c r="K197" i="10"/>
  <c r="J197" i="10"/>
  <c r="I197" i="10"/>
  <c r="H197" i="10"/>
  <c r="F197" i="10"/>
  <c r="E197" i="10"/>
  <c r="D197" i="10"/>
  <c r="A197" i="10"/>
  <c r="C197" i="10" s="1"/>
  <c r="N196" i="10"/>
  <c r="M196" i="10"/>
  <c r="K196" i="10"/>
  <c r="H196" i="10"/>
  <c r="F196" i="10"/>
  <c r="E196" i="10"/>
  <c r="C196" i="10"/>
  <c r="A196" i="10"/>
  <c r="B196" i="10" s="1"/>
  <c r="A195" i="10"/>
  <c r="H194" i="10"/>
  <c r="G194" i="10"/>
  <c r="F194" i="10"/>
  <c r="A194" i="10"/>
  <c r="A193" i="10"/>
  <c r="L193" i="10" s="1"/>
  <c r="F192" i="10"/>
  <c r="E192" i="10"/>
  <c r="A192" i="10"/>
  <c r="E191" i="10"/>
  <c r="D191" i="10"/>
  <c r="C191" i="10"/>
  <c r="A191" i="10"/>
  <c r="N190" i="10"/>
  <c r="M190" i="10"/>
  <c r="L190" i="10"/>
  <c r="K190" i="10"/>
  <c r="J190" i="10"/>
  <c r="D190" i="10"/>
  <c r="A190" i="10"/>
  <c r="A189" i="10"/>
  <c r="M189" i="10" s="1"/>
  <c r="A188" i="10"/>
  <c r="C188" i="10" s="1"/>
  <c r="A187" i="10"/>
  <c r="N186" i="10"/>
  <c r="M186" i="10"/>
  <c r="K186" i="10"/>
  <c r="J186" i="10"/>
  <c r="I186" i="10"/>
  <c r="H186" i="10"/>
  <c r="G186" i="10"/>
  <c r="F186" i="10"/>
  <c r="E186" i="10"/>
  <c r="A186" i="10"/>
  <c r="L186" i="10" s="1"/>
  <c r="A185" i="10"/>
  <c r="A184" i="10"/>
  <c r="N184" i="10" s="1"/>
  <c r="A183" i="10"/>
  <c r="H183" i="10" s="1"/>
  <c r="A182" i="10"/>
  <c r="L181" i="10"/>
  <c r="A181" i="10"/>
  <c r="A180" i="10"/>
  <c r="M180" i="10" s="1"/>
  <c r="N179" i="10"/>
  <c r="A179" i="10"/>
  <c r="A178" i="10"/>
  <c r="M177" i="10"/>
  <c r="K177" i="10"/>
  <c r="J177" i="10"/>
  <c r="A177" i="10"/>
  <c r="I177" i="10" s="1"/>
  <c r="L176" i="10"/>
  <c r="K176" i="10"/>
  <c r="J176" i="10"/>
  <c r="I176" i="10"/>
  <c r="H176" i="10"/>
  <c r="A176" i="10"/>
  <c r="A175" i="10"/>
  <c r="M174" i="10"/>
  <c r="K174" i="10"/>
  <c r="I174" i="10"/>
  <c r="H174" i="10"/>
  <c r="G174" i="10"/>
  <c r="F174" i="10"/>
  <c r="E174" i="10"/>
  <c r="C174" i="10"/>
  <c r="A174" i="10"/>
  <c r="N174" i="10" s="1"/>
  <c r="A173" i="10"/>
  <c r="H172" i="10"/>
  <c r="A172" i="10"/>
  <c r="M171" i="10"/>
  <c r="L171" i="10"/>
  <c r="E171" i="10"/>
  <c r="D171" i="10"/>
  <c r="A171" i="10"/>
  <c r="C171" i="10" s="1"/>
  <c r="A170" i="10"/>
  <c r="M169" i="10"/>
  <c r="G169" i="10"/>
  <c r="F169" i="10"/>
  <c r="D169" i="10"/>
  <c r="B169" i="10"/>
  <c r="A169" i="10"/>
  <c r="C169" i="10" s="1"/>
  <c r="A168" i="10"/>
  <c r="J167" i="10"/>
  <c r="I167" i="10"/>
  <c r="H167" i="10"/>
  <c r="G167" i="10"/>
  <c r="F167" i="10"/>
  <c r="C167" i="10"/>
  <c r="A167" i="10"/>
  <c r="B167" i="10" s="1"/>
  <c r="M166" i="10"/>
  <c r="K166" i="10"/>
  <c r="J166" i="10"/>
  <c r="E166" i="10"/>
  <c r="A166" i="10"/>
  <c r="A165" i="10"/>
  <c r="A164" i="10"/>
  <c r="B164" i="10" s="1"/>
  <c r="A163" i="10"/>
  <c r="L162" i="10"/>
  <c r="K162" i="10"/>
  <c r="A162" i="10"/>
  <c r="G161" i="10"/>
  <c r="F161" i="10"/>
  <c r="A161" i="10"/>
  <c r="A160" i="10"/>
  <c r="N160" i="10" s="1"/>
  <c r="A159" i="10"/>
  <c r="D159" i="10" s="1"/>
  <c r="A158" i="10"/>
  <c r="G158" i="10" s="1"/>
  <c r="N157" i="10"/>
  <c r="M157" i="10"/>
  <c r="L157" i="10"/>
  <c r="K157" i="10"/>
  <c r="J157" i="10"/>
  <c r="I157" i="10"/>
  <c r="E157" i="10"/>
  <c r="D157" i="10"/>
  <c r="A157" i="10"/>
  <c r="C157" i="10" s="1"/>
  <c r="K156" i="10"/>
  <c r="J156" i="10"/>
  <c r="G156" i="10"/>
  <c r="F156" i="10"/>
  <c r="E156" i="10"/>
  <c r="D156" i="10"/>
  <c r="A156" i="10"/>
  <c r="H155" i="10"/>
  <c r="G155" i="10"/>
  <c r="A155" i="10"/>
  <c r="N154" i="10"/>
  <c r="K154" i="10"/>
  <c r="J154" i="10"/>
  <c r="A154" i="10"/>
  <c r="A153" i="10"/>
  <c r="N152" i="10"/>
  <c r="H152" i="10"/>
  <c r="A152" i="10"/>
  <c r="F152" i="10" s="1"/>
  <c r="A151" i="10"/>
  <c r="A150" i="10"/>
  <c r="M150" i="10" s="1"/>
  <c r="A149" i="10"/>
  <c r="N149" i="10" s="1"/>
  <c r="N148" i="10"/>
  <c r="M148" i="10"/>
  <c r="L148" i="10"/>
  <c r="K148" i="10"/>
  <c r="J148" i="10"/>
  <c r="I148" i="10"/>
  <c r="H148" i="10"/>
  <c r="F148" i="10"/>
  <c r="E148" i="10"/>
  <c r="D148" i="10"/>
  <c r="A148" i="10"/>
  <c r="B148" i="10" s="1"/>
  <c r="M147" i="10"/>
  <c r="J147" i="10"/>
  <c r="I147" i="10"/>
  <c r="G147" i="10"/>
  <c r="E147" i="10"/>
  <c r="A147" i="10"/>
  <c r="D147" i="10" s="1"/>
  <c r="N146" i="10"/>
  <c r="M146" i="10"/>
  <c r="L146" i="10"/>
  <c r="K146" i="10"/>
  <c r="J146" i="10"/>
  <c r="A146" i="10"/>
  <c r="A145" i="10"/>
  <c r="C145" i="10" s="1"/>
  <c r="A144" i="10"/>
  <c r="I144" i="10" s="1"/>
  <c r="N143" i="10"/>
  <c r="M143" i="10"/>
  <c r="A143" i="10"/>
  <c r="A142" i="10"/>
  <c r="C141" i="10"/>
  <c r="B141" i="10"/>
  <c r="A141" i="10"/>
  <c r="A140" i="10"/>
  <c r="N140" i="10" s="1"/>
  <c r="A139" i="10"/>
  <c r="K139" i="10" s="1"/>
  <c r="A138" i="10"/>
  <c r="F137" i="10"/>
  <c r="D137" i="10"/>
  <c r="A137" i="10"/>
  <c r="K136" i="10"/>
  <c r="J136" i="10"/>
  <c r="F136" i="10"/>
  <c r="E136" i="10"/>
  <c r="A136" i="10"/>
  <c r="A135" i="10"/>
  <c r="A134" i="10"/>
  <c r="L134" i="10" s="1"/>
  <c r="A133" i="10"/>
  <c r="E133" i="10" s="1"/>
  <c r="N132" i="10"/>
  <c r="M132" i="10"/>
  <c r="L132" i="10"/>
  <c r="J132" i="10"/>
  <c r="I132" i="10"/>
  <c r="A132" i="10"/>
  <c r="A131" i="10"/>
  <c r="E131" i="10" s="1"/>
  <c r="M130" i="10"/>
  <c r="K130" i="10"/>
  <c r="I130" i="10"/>
  <c r="H130" i="10"/>
  <c r="A130" i="10"/>
  <c r="A129" i="10"/>
  <c r="N129" i="10" s="1"/>
  <c r="K128" i="10"/>
  <c r="I128" i="10"/>
  <c r="H128" i="10"/>
  <c r="E128" i="10"/>
  <c r="D128" i="10"/>
  <c r="A128" i="10"/>
  <c r="N127" i="10"/>
  <c r="A127" i="10"/>
  <c r="A126" i="10"/>
  <c r="A125" i="10"/>
  <c r="E125" i="10" s="1"/>
  <c r="A124" i="10"/>
  <c r="A123" i="10"/>
  <c r="M123" i="10" s="1"/>
  <c r="A122" i="10"/>
  <c r="C122" i="10" s="1"/>
  <c r="N121" i="10"/>
  <c r="M121" i="10"/>
  <c r="L121" i="10"/>
  <c r="K121" i="10"/>
  <c r="J121" i="10"/>
  <c r="I121" i="10"/>
  <c r="H121" i="10"/>
  <c r="G121" i="10"/>
  <c r="E121" i="10"/>
  <c r="C121" i="10"/>
  <c r="B121" i="10"/>
  <c r="A121" i="10"/>
  <c r="A120" i="10"/>
  <c r="B120" i="10" s="1"/>
  <c r="A119" i="10"/>
  <c r="A118" i="10"/>
  <c r="I118" i="10" s="1"/>
  <c r="N117" i="10"/>
  <c r="M117" i="10"/>
  <c r="L117" i="10"/>
  <c r="K117" i="10"/>
  <c r="A117" i="10"/>
  <c r="D117" i="10" s="1"/>
  <c r="A116" i="10"/>
  <c r="N115" i="10"/>
  <c r="M115" i="10"/>
  <c r="L115" i="10"/>
  <c r="K115" i="10"/>
  <c r="I115" i="10"/>
  <c r="A115" i="10"/>
  <c r="H115" i="10" s="1"/>
  <c r="A114" i="10"/>
  <c r="E114" i="10" s="1"/>
  <c r="A113" i="10"/>
  <c r="D113" i="10" s="1"/>
  <c r="A112" i="10"/>
  <c r="C112" i="10" s="1"/>
  <c r="K111" i="10"/>
  <c r="H111" i="10"/>
  <c r="A111" i="10"/>
  <c r="A110" i="10"/>
  <c r="C110" i="10" s="1"/>
  <c r="A109" i="10"/>
  <c r="A108" i="10"/>
  <c r="M108" i="10" s="1"/>
  <c r="A107" i="10"/>
  <c r="A106" i="10"/>
  <c r="M106" i="10" s="1"/>
  <c r="N105" i="10"/>
  <c r="L105" i="10"/>
  <c r="A105" i="10"/>
  <c r="M104" i="10"/>
  <c r="A104" i="10"/>
  <c r="J104" i="10" s="1"/>
  <c r="A103" i="10"/>
  <c r="A102" i="10"/>
  <c r="A101" i="10"/>
  <c r="C101" i="10" s="1"/>
  <c r="K100" i="10"/>
  <c r="A100" i="10"/>
  <c r="M100" i="10" s="1"/>
  <c r="M99" i="10"/>
  <c r="H99" i="10"/>
  <c r="A99" i="10"/>
  <c r="K99" i="10" s="1"/>
  <c r="A98" i="10"/>
  <c r="I98" i="10" s="1"/>
  <c r="I97" i="10"/>
  <c r="H97" i="10"/>
  <c r="A97" i="10"/>
  <c r="A96" i="10"/>
  <c r="E96" i="10" s="1"/>
  <c r="N95" i="10"/>
  <c r="M95" i="10"/>
  <c r="L95" i="10"/>
  <c r="K95" i="10"/>
  <c r="D95" i="10"/>
  <c r="A95" i="10"/>
  <c r="A94" i="10"/>
  <c r="A93" i="10"/>
  <c r="A92" i="10"/>
  <c r="A91" i="10"/>
  <c r="E91" i="10" s="1"/>
  <c r="A90" i="10"/>
  <c r="H90" i="10" s="1"/>
  <c r="A89" i="10"/>
  <c r="A88" i="10"/>
  <c r="N87" i="10"/>
  <c r="M87" i="10"/>
  <c r="L87" i="10"/>
  <c r="I87" i="10"/>
  <c r="F87" i="10"/>
  <c r="E87" i="10"/>
  <c r="A87" i="10"/>
  <c r="K87" i="10" s="1"/>
  <c r="A86" i="10"/>
  <c r="N86" i="10" s="1"/>
  <c r="I85" i="10"/>
  <c r="H85" i="10"/>
  <c r="G85" i="10"/>
  <c r="A85" i="10"/>
  <c r="N84" i="10"/>
  <c r="M84" i="10"/>
  <c r="L84" i="10"/>
  <c r="K84" i="10"/>
  <c r="J84" i="10"/>
  <c r="I84" i="10"/>
  <c r="H84" i="10"/>
  <c r="G84" i="10"/>
  <c r="F84" i="10"/>
  <c r="A84" i="10"/>
  <c r="A83" i="10"/>
  <c r="G83" i="10" s="1"/>
  <c r="A82" i="10"/>
  <c r="K82" i="10" s="1"/>
  <c r="M81" i="10"/>
  <c r="I81" i="10"/>
  <c r="H81" i="10"/>
  <c r="G81" i="10"/>
  <c r="A81" i="10"/>
  <c r="N81" i="10" s="1"/>
  <c r="N80" i="10"/>
  <c r="M80" i="10"/>
  <c r="D80" i="10"/>
  <c r="C80" i="10"/>
  <c r="A80" i="10"/>
  <c r="A79" i="10"/>
  <c r="N79" i="10" s="1"/>
  <c r="A78" i="10"/>
  <c r="E78" i="10" s="1"/>
  <c r="N77" i="10"/>
  <c r="M77" i="10"/>
  <c r="L77" i="10"/>
  <c r="K77" i="10"/>
  <c r="A77" i="10"/>
  <c r="J77" i="10" s="1"/>
  <c r="C76" i="10"/>
  <c r="A76" i="10"/>
  <c r="B76" i="10" s="1"/>
  <c r="N75" i="10"/>
  <c r="K75" i="10"/>
  <c r="J75" i="10"/>
  <c r="H75" i="10"/>
  <c r="A75" i="10"/>
  <c r="A74" i="10"/>
  <c r="G74" i="10" s="1"/>
  <c r="K73" i="10"/>
  <c r="J73" i="10"/>
  <c r="I73" i="10"/>
  <c r="F73" i="10"/>
  <c r="E73" i="10"/>
  <c r="A73" i="10"/>
  <c r="M73" i="10" s="1"/>
  <c r="A72" i="10"/>
  <c r="A71" i="10"/>
  <c r="H71" i="10" s="1"/>
  <c r="A70" i="10"/>
  <c r="N69" i="10"/>
  <c r="M69" i="10"/>
  <c r="L69" i="10"/>
  <c r="K69" i="10"/>
  <c r="J69" i="10"/>
  <c r="H69" i="10"/>
  <c r="G69" i="10"/>
  <c r="F69" i="10"/>
  <c r="B69" i="10"/>
  <c r="A69" i="10"/>
  <c r="N68" i="10"/>
  <c r="M68" i="10"/>
  <c r="L68" i="10"/>
  <c r="E68" i="10"/>
  <c r="D68" i="10"/>
  <c r="A68" i="10"/>
  <c r="A67" i="10"/>
  <c r="E67" i="10" s="1"/>
  <c r="G66" i="10"/>
  <c r="F66" i="10"/>
  <c r="A66" i="10"/>
  <c r="C66" i="10" s="1"/>
  <c r="N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M65" i="10" s="1"/>
  <c r="A64" i="10"/>
  <c r="N63" i="10"/>
  <c r="M63" i="10"/>
  <c r="L63" i="10"/>
  <c r="K63" i="10"/>
  <c r="J63" i="10"/>
  <c r="I63" i="10"/>
  <c r="H63" i="10"/>
  <c r="A63" i="10"/>
  <c r="E63" i="10" s="1"/>
  <c r="A62" i="10"/>
  <c r="F62" i="10" s="1"/>
  <c r="A61" i="10"/>
  <c r="M61" i="10" s="1"/>
  <c r="M60" i="10"/>
  <c r="L60" i="10"/>
  <c r="G60" i="10"/>
  <c r="A60" i="10"/>
  <c r="N60" i="10" s="1"/>
  <c r="A59" i="10"/>
  <c r="L58" i="10"/>
  <c r="K58" i="10"/>
  <c r="J58" i="10"/>
  <c r="H58" i="10"/>
  <c r="G58" i="10"/>
  <c r="F58" i="10"/>
  <c r="E58" i="10"/>
  <c r="D58" i="10"/>
  <c r="A58" i="10"/>
  <c r="A57" i="10"/>
  <c r="G57" i="10" s="1"/>
  <c r="N56" i="10"/>
  <c r="M56" i="10"/>
  <c r="L56" i="10"/>
  <c r="K56" i="10"/>
  <c r="J56" i="10"/>
  <c r="H56" i="10"/>
  <c r="A56" i="10"/>
  <c r="B56" i="10" s="1"/>
  <c r="A55" i="10"/>
  <c r="N54" i="10"/>
  <c r="L54" i="10"/>
  <c r="H54" i="10"/>
  <c r="C54" i="10"/>
  <c r="B54" i="10"/>
  <c r="A54" i="10"/>
  <c r="A53" i="10"/>
  <c r="A52" i="10"/>
  <c r="L52" i="10" s="1"/>
  <c r="N51" i="10"/>
  <c r="L51" i="10"/>
  <c r="J51" i="10"/>
  <c r="I51" i="10"/>
  <c r="H51" i="10"/>
  <c r="G51" i="10"/>
  <c r="F51" i="10"/>
  <c r="C51" i="10"/>
  <c r="B51" i="10"/>
  <c r="A51" i="10"/>
  <c r="A50" i="10"/>
  <c r="A49" i="10"/>
  <c r="L48" i="10"/>
  <c r="J48" i="10"/>
  <c r="H48" i="10"/>
  <c r="F48" i="10"/>
  <c r="A48" i="10"/>
  <c r="M48" i="10" s="1"/>
  <c r="A47" i="10"/>
  <c r="A46" i="10"/>
  <c r="G46" i="10" s="1"/>
  <c r="A45" i="10"/>
  <c r="H45" i="10" s="1"/>
  <c r="M44" i="10"/>
  <c r="G44" i="10"/>
  <c r="F44" i="10"/>
  <c r="E44" i="10"/>
  <c r="A44" i="10"/>
  <c r="A43" i="10"/>
  <c r="N42" i="10"/>
  <c r="K42" i="10"/>
  <c r="J42" i="10"/>
  <c r="E42" i="10"/>
  <c r="D42" i="10"/>
  <c r="C42" i="10"/>
  <c r="B42" i="10"/>
  <c r="A42" i="10"/>
  <c r="A41" i="10"/>
  <c r="K40" i="10"/>
  <c r="J40" i="10"/>
  <c r="I40" i="10"/>
  <c r="H40" i="10"/>
  <c r="G40" i="10"/>
  <c r="F40" i="10"/>
  <c r="E40" i="10"/>
  <c r="D40" i="10"/>
  <c r="C40" i="10"/>
  <c r="A40" i="10"/>
  <c r="M39" i="10"/>
  <c r="A39" i="10"/>
  <c r="I39" i="10" s="1"/>
  <c r="A38" i="10"/>
  <c r="A37" i="10"/>
  <c r="E37" i="10" s="1"/>
  <c r="A36" i="10"/>
  <c r="L36" i="10" s="1"/>
  <c r="N35" i="10"/>
  <c r="M35" i="10"/>
  <c r="L35" i="10"/>
  <c r="K35" i="10"/>
  <c r="J35" i="10"/>
  <c r="H35" i="10"/>
  <c r="G35" i="10"/>
  <c r="F35" i="10"/>
  <c r="D35" i="10"/>
  <c r="C35" i="10"/>
  <c r="B35" i="10"/>
  <c r="A35" i="10"/>
  <c r="A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A33" i="10"/>
  <c r="B33" i="10" s="1"/>
  <c r="M32" i="10"/>
  <c r="L32" i="10"/>
  <c r="K32" i="10"/>
  <c r="I32" i="10"/>
  <c r="H32" i="10"/>
  <c r="G32" i="10"/>
  <c r="F32" i="10"/>
  <c r="A32" i="10"/>
  <c r="A31" i="10"/>
  <c r="E31" i="10" s="1"/>
  <c r="I30" i="10"/>
  <c r="G30" i="10"/>
  <c r="A30" i="10"/>
  <c r="A29" i="10"/>
  <c r="I29" i="10" s="1"/>
  <c r="N28" i="10"/>
  <c r="M28" i="10"/>
  <c r="L28" i="10"/>
  <c r="I28" i="10"/>
  <c r="A28" i="10"/>
  <c r="K28" i="10" s="1"/>
  <c r="A27" i="10"/>
  <c r="J27" i="10" s="1"/>
  <c r="I26" i="10"/>
  <c r="A26" i="10"/>
  <c r="A25" i="10"/>
  <c r="N24" i="10"/>
  <c r="M24" i="10"/>
  <c r="L24" i="10"/>
  <c r="K24" i="10"/>
  <c r="J24" i="10"/>
  <c r="I24" i="10"/>
  <c r="H24" i="10"/>
  <c r="A24" i="10"/>
  <c r="C24" i="10" s="1"/>
  <c r="A23" i="10"/>
  <c r="C23" i="10" s="1"/>
  <c r="L22" i="10"/>
  <c r="K22" i="10"/>
  <c r="I22" i="10"/>
  <c r="A22" i="10"/>
  <c r="A21" i="10"/>
  <c r="N20" i="10"/>
  <c r="M20" i="10"/>
  <c r="K20" i="10"/>
  <c r="J20" i="10"/>
  <c r="I20" i="10"/>
  <c r="A20" i="10"/>
  <c r="E20" i="10" s="1"/>
  <c r="A19" i="10"/>
  <c r="K18" i="10"/>
  <c r="J18" i="10"/>
  <c r="H18" i="10"/>
  <c r="A18" i="10"/>
  <c r="I17" i="10"/>
  <c r="H17" i="10"/>
  <c r="A17" i="10"/>
  <c r="G17" i="10" s="1"/>
  <c r="A16" i="10"/>
  <c r="A15" i="10"/>
  <c r="D15" i="10" s="1"/>
  <c r="N14" i="10"/>
  <c r="L14" i="10"/>
  <c r="K14" i="10"/>
  <c r="I14" i="10"/>
  <c r="G14" i="10"/>
  <c r="F14" i="10"/>
  <c r="A14" i="10"/>
  <c r="M14" i="10" s="1"/>
  <c r="A13" i="10"/>
  <c r="D13" i="10" s="1"/>
  <c r="M12" i="10"/>
  <c r="L12" i="10"/>
  <c r="G12" i="10"/>
  <c r="F12" i="10"/>
  <c r="E12" i="10"/>
  <c r="C12" i="10"/>
  <c r="A12" i="10"/>
  <c r="A11" i="10"/>
  <c r="A10" i="10"/>
  <c r="L10" i="10" s="1"/>
  <c r="N9" i="10"/>
  <c r="M9" i="10"/>
  <c r="K9" i="10"/>
  <c r="J9" i="10"/>
  <c r="I9" i="10"/>
  <c r="E9" i="10"/>
  <c r="A9" i="10"/>
  <c r="D9" i="10" s="1"/>
  <c r="A8" i="10"/>
  <c r="A7" i="10"/>
  <c r="C7" i="10" s="1"/>
  <c r="A6" i="10"/>
  <c r="A5" i="10"/>
  <c r="N5" i="10" s="1"/>
  <c r="B2" i="10"/>
  <c r="B8" i="9"/>
  <c r="B3" i="9"/>
  <c r="P201" i="7"/>
  <c r="O201" i="7"/>
  <c r="N201" i="7"/>
  <c r="M201" i="7"/>
  <c r="E201" i="7"/>
  <c r="P200" i="7"/>
  <c r="O200" i="7"/>
  <c r="N200" i="7"/>
  <c r="M200" i="7"/>
  <c r="E200" i="7"/>
  <c r="P199" i="7"/>
  <c r="O199" i="7"/>
  <c r="N199" i="7"/>
  <c r="M199" i="7"/>
  <c r="E199" i="7"/>
  <c r="P198" i="7"/>
  <c r="O198" i="7"/>
  <c r="N198" i="7"/>
  <c r="M198" i="7"/>
  <c r="E198" i="7"/>
  <c r="P197" i="7"/>
  <c r="O197" i="7"/>
  <c r="N197" i="7"/>
  <c r="M197" i="7"/>
  <c r="E197" i="7"/>
  <c r="P196" i="7"/>
  <c r="O196" i="7"/>
  <c r="N196" i="7"/>
  <c r="M196" i="7"/>
  <c r="E196" i="7"/>
  <c r="P195" i="7"/>
  <c r="O195" i="7"/>
  <c r="N195" i="7"/>
  <c r="M195" i="7"/>
  <c r="E195" i="7"/>
  <c r="P194" i="7"/>
  <c r="O194" i="7"/>
  <c r="N194" i="7"/>
  <c r="M194" i="7"/>
  <c r="E194" i="7"/>
  <c r="P193" i="7"/>
  <c r="O193" i="7"/>
  <c r="N193" i="7"/>
  <c r="M193" i="7"/>
  <c r="E193" i="7"/>
  <c r="P192" i="7"/>
  <c r="O192" i="7"/>
  <c r="N192" i="7"/>
  <c r="M192" i="7"/>
  <c r="E192" i="7"/>
  <c r="P191" i="7"/>
  <c r="O191" i="7"/>
  <c r="N191" i="7"/>
  <c r="M191" i="7"/>
  <c r="E191" i="7"/>
  <c r="P190" i="7"/>
  <c r="O190" i="7"/>
  <c r="N190" i="7"/>
  <c r="M190" i="7"/>
  <c r="E190" i="7"/>
  <c r="P189" i="7"/>
  <c r="O189" i="7"/>
  <c r="N189" i="7"/>
  <c r="M189" i="7"/>
  <c r="E189" i="7"/>
  <c r="P188" i="7"/>
  <c r="O188" i="7"/>
  <c r="N188" i="7"/>
  <c r="M188" i="7"/>
  <c r="E188" i="7"/>
  <c r="P187" i="7"/>
  <c r="O187" i="7"/>
  <c r="N187" i="7"/>
  <c r="M187" i="7"/>
  <c r="E187" i="7"/>
  <c r="P186" i="7"/>
  <c r="O186" i="7"/>
  <c r="N186" i="7"/>
  <c r="M186" i="7"/>
  <c r="E186" i="7"/>
  <c r="P185" i="7"/>
  <c r="O185" i="7"/>
  <c r="N185" i="7"/>
  <c r="M185" i="7"/>
  <c r="E185" i="7"/>
  <c r="P184" i="7"/>
  <c r="O184" i="7"/>
  <c r="N184" i="7"/>
  <c r="M184" i="7"/>
  <c r="E184" i="7"/>
  <c r="P183" i="7"/>
  <c r="O183" i="7"/>
  <c r="N183" i="7"/>
  <c r="M183" i="7"/>
  <c r="E183" i="7"/>
  <c r="P182" i="7"/>
  <c r="O182" i="7"/>
  <c r="N182" i="7"/>
  <c r="M182" i="7"/>
  <c r="E182" i="7"/>
  <c r="P181" i="7"/>
  <c r="O181" i="7"/>
  <c r="N181" i="7"/>
  <c r="M181" i="7"/>
  <c r="E181" i="7"/>
  <c r="P180" i="7"/>
  <c r="O180" i="7"/>
  <c r="N180" i="7"/>
  <c r="M180" i="7"/>
  <c r="E180" i="7"/>
  <c r="P179" i="7"/>
  <c r="O179" i="7"/>
  <c r="N179" i="7"/>
  <c r="M179" i="7"/>
  <c r="E179" i="7"/>
  <c r="P178" i="7"/>
  <c r="O178" i="7"/>
  <c r="N178" i="7"/>
  <c r="M178" i="7"/>
  <c r="E178" i="7"/>
  <c r="P177" i="7"/>
  <c r="O177" i="7"/>
  <c r="N177" i="7"/>
  <c r="M177" i="7"/>
  <c r="E177" i="7"/>
  <c r="P176" i="7"/>
  <c r="O176" i="7"/>
  <c r="N176" i="7"/>
  <c r="M176" i="7"/>
  <c r="E176" i="7"/>
  <c r="P175" i="7"/>
  <c r="O175" i="7"/>
  <c r="N175" i="7"/>
  <c r="M175" i="7"/>
  <c r="E175" i="7"/>
  <c r="P174" i="7"/>
  <c r="O174" i="7"/>
  <c r="N174" i="7"/>
  <c r="M174" i="7"/>
  <c r="E174" i="7"/>
  <c r="P173" i="7"/>
  <c r="O173" i="7"/>
  <c r="N173" i="7"/>
  <c r="M173" i="7"/>
  <c r="E173" i="7"/>
  <c r="P172" i="7"/>
  <c r="O172" i="7"/>
  <c r="N172" i="7"/>
  <c r="M172" i="7"/>
  <c r="E172" i="7"/>
  <c r="P171" i="7"/>
  <c r="O171" i="7"/>
  <c r="N171" i="7"/>
  <c r="M171" i="7"/>
  <c r="E171" i="7"/>
  <c r="P170" i="7"/>
  <c r="O170" i="7"/>
  <c r="N170" i="7"/>
  <c r="M170" i="7"/>
  <c r="E170" i="7"/>
  <c r="P169" i="7"/>
  <c r="O169" i="7"/>
  <c r="N169" i="7"/>
  <c r="M169" i="7"/>
  <c r="E169" i="7"/>
  <c r="P168" i="7"/>
  <c r="O168" i="7"/>
  <c r="N168" i="7"/>
  <c r="M168" i="7"/>
  <c r="E168" i="7"/>
  <c r="P167" i="7"/>
  <c r="O167" i="7"/>
  <c r="N167" i="7"/>
  <c r="M167" i="7"/>
  <c r="E167" i="7"/>
  <c r="P166" i="7"/>
  <c r="O166" i="7"/>
  <c r="N166" i="7"/>
  <c r="M166" i="7"/>
  <c r="E166" i="7"/>
  <c r="P165" i="7"/>
  <c r="O165" i="7"/>
  <c r="N165" i="7"/>
  <c r="M165" i="7"/>
  <c r="E165" i="7"/>
  <c r="P164" i="7"/>
  <c r="O164" i="7"/>
  <c r="N164" i="7"/>
  <c r="M164" i="7"/>
  <c r="E164" i="7"/>
  <c r="P163" i="7"/>
  <c r="O163" i="7"/>
  <c r="N163" i="7"/>
  <c r="M163" i="7"/>
  <c r="E163" i="7"/>
  <c r="P162" i="7"/>
  <c r="O162" i="7"/>
  <c r="N162" i="7"/>
  <c r="M162" i="7"/>
  <c r="E162" i="7"/>
  <c r="P161" i="7"/>
  <c r="O161" i="7"/>
  <c r="N161" i="7"/>
  <c r="M161" i="7"/>
  <c r="E161" i="7"/>
  <c r="P160" i="7"/>
  <c r="O160" i="7"/>
  <c r="N160" i="7"/>
  <c r="M160" i="7"/>
  <c r="E160" i="7"/>
  <c r="P159" i="7"/>
  <c r="O159" i="7"/>
  <c r="N159" i="7"/>
  <c r="M159" i="7"/>
  <c r="E159" i="7"/>
  <c r="P158" i="7"/>
  <c r="O158" i="7"/>
  <c r="N158" i="7"/>
  <c r="M158" i="7"/>
  <c r="E158" i="7"/>
  <c r="P157" i="7"/>
  <c r="O157" i="7"/>
  <c r="N157" i="7"/>
  <c r="M157" i="7"/>
  <c r="E157" i="7"/>
  <c r="P156" i="7"/>
  <c r="O156" i="7"/>
  <c r="N156" i="7"/>
  <c r="M156" i="7"/>
  <c r="E156" i="7"/>
  <c r="P155" i="7"/>
  <c r="O155" i="7"/>
  <c r="N155" i="7"/>
  <c r="M155" i="7"/>
  <c r="E155" i="7"/>
  <c r="P154" i="7"/>
  <c r="O154" i="7"/>
  <c r="N154" i="7"/>
  <c r="M154" i="7"/>
  <c r="E154" i="7"/>
  <c r="P153" i="7"/>
  <c r="O153" i="7"/>
  <c r="N153" i="7"/>
  <c r="M153" i="7"/>
  <c r="E153" i="7"/>
  <c r="P152" i="7"/>
  <c r="O152" i="7"/>
  <c r="N152" i="7"/>
  <c r="M152" i="7"/>
  <c r="E152" i="7"/>
  <c r="P151" i="7"/>
  <c r="O151" i="7"/>
  <c r="N151" i="7"/>
  <c r="M151" i="7"/>
  <c r="E151" i="7"/>
  <c r="P150" i="7"/>
  <c r="O150" i="7"/>
  <c r="N150" i="7"/>
  <c r="M150" i="7"/>
  <c r="E150" i="7"/>
  <c r="P149" i="7"/>
  <c r="O149" i="7"/>
  <c r="N149" i="7"/>
  <c r="M149" i="7"/>
  <c r="E149" i="7"/>
  <c r="P148" i="7"/>
  <c r="O148" i="7"/>
  <c r="N148" i="7"/>
  <c r="M148" i="7"/>
  <c r="E148" i="7"/>
  <c r="P147" i="7"/>
  <c r="O147" i="7"/>
  <c r="N147" i="7"/>
  <c r="M147" i="7"/>
  <c r="E147" i="7"/>
  <c r="P146" i="7"/>
  <c r="O146" i="7"/>
  <c r="N146" i="7"/>
  <c r="M146" i="7"/>
  <c r="E146" i="7"/>
  <c r="P145" i="7"/>
  <c r="O145" i="7"/>
  <c r="N145" i="7"/>
  <c r="M145" i="7"/>
  <c r="E145" i="7"/>
  <c r="P144" i="7"/>
  <c r="O144" i="7"/>
  <c r="N144" i="7"/>
  <c r="M144" i="7"/>
  <c r="E144" i="7"/>
  <c r="P143" i="7"/>
  <c r="O143" i="7"/>
  <c r="N143" i="7"/>
  <c r="M143" i="7"/>
  <c r="E143" i="7"/>
  <c r="P142" i="7"/>
  <c r="O142" i="7"/>
  <c r="N142" i="7"/>
  <c r="M142" i="7"/>
  <c r="E142" i="7"/>
  <c r="P141" i="7"/>
  <c r="O141" i="7"/>
  <c r="N141" i="7"/>
  <c r="M141" i="7"/>
  <c r="E141" i="7"/>
  <c r="P140" i="7"/>
  <c r="O140" i="7"/>
  <c r="N140" i="7"/>
  <c r="M140" i="7"/>
  <c r="E140" i="7"/>
  <c r="P139" i="7"/>
  <c r="O139" i="7"/>
  <c r="N139" i="7"/>
  <c r="M139" i="7"/>
  <c r="E139" i="7"/>
  <c r="P138" i="7"/>
  <c r="O138" i="7"/>
  <c r="N138" i="7"/>
  <c r="M138" i="7"/>
  <c r="E138" i="7"/>
  <c r="P137" i="7"/>
  <c r="O137" i="7"/>
  <c r="N137" i="7"/>
  <c r="M137" i="7"/>
  <c r="E137" i="7"/>
  <c r="P136" i="7"/>
  <c r="O136" i="7"/>
  <c r="N136" i="7"/>
  <c r="M136" i="7"/>
  <c r="E136" i="7"/>
  <c r="P135" i="7"/>
  <c r="O135" i="7"/>
  <c r="N135" i="7"/>
  <c r="M135" i="7"/>
  <c r="E135" i="7"/>
  <c r="P134" i="7"/>
  <c r="O134" i="7"/>
  <c r="N134" i="7"/>
  <c r="M134" i="7"/>
  <c r="E134" i="7"/>
  <c r="P133" i="7"/>
  <c r="O133" i="7"/>
  <c r="N133" i="7"/>
  <c r="M133" i="7"/>
  <c r="E133" i="7"/>
  <c r="P132" i="7"/>
  <c r="O132" i="7"/>
  <c r="N132" i="7"/>
  <c r="M132" i="7"/>
  <c r="E132" i="7"/>
  <c r="P131" i="7"/>
  <c r="O131" i="7"/>
  <c r="N131" i="7"/>
  <c r="M131" i="7"/>
  <c r="E131" i="7"/>
  <c r="P130" i="7"/>
  <c r="O130" i="7"/>
  <c r="N130" i="7"/>
  <c r="M130" i="7"/>
  <c r="E130" i="7"/>
  <c r="P129" i="7"/>
  <c r="O129" i="7"/>
  <c r="N129" i="7"/>
  <c r="M129" i="7"/>
  <c r="E129" i="7"/>
  <c r="P128" i="7"/>
  <c r="O128" i="7"/>
  <c r="N128" i="7"/>
  <c r="M128" i="7"/>
  <c r="E128" i="7"/>
  <c r="P127" i="7"/>
  <c r="O127" i="7"/>
  <c r="N127" i="7"/>
  <c r="M127" i="7"/>
  <c r="E127" i="7"/>
  <c r="P126" i="7"/>
  <c r="O126" i="7"/>
  <c r="N126" i="7"/>
  <c r="M126" i="7"/>
  <c r="E126" i="7"/>
  <c r="P125" i="7"/>
  <c r="O125" i="7"/>
  <c r="N125" i="7"/>
  <c r="M125" i="7"/>
  <c r="E125" i="7"/>
  <c r="P124" i="7"/>
  <c r="O124" i="7"/>
  <c r="N124" i="7"/>
  <c r="M124" i="7"/>
  <c r="E124" i="7"/>
  <c r="P123" i="7"/>
  <c r="O123" i="7"/>
  <c r="N123" i="7"/>
  <c r="M123" i="7"/>
  <c r="E123" i="7"/>
  <c r="P122" i="7"/>
  <c r="O122" i="7"/>
  <c r="N122" i="7"/>
  <c r="M122" i="7"/>
  <c r="E122" i="7"/>
  <c r="P121" i="7"/>
  <c r="O121" i="7"/>
  <c r="N121" i="7"/>
  <c r="M121" i="7"/>
  <c r="E121" i="7"/>
  <c r="P120" i="7"/>
  <c r="O120" i="7"/>
  <c r="N120" i="7"/>
  <c r="M120" i="7"/>
  <c r="E120" i="7"/>
  <c r="P119" i="7"/>
  <c r="O119" i="7"/>
  <c r="N119" i="7"/>
  <c r="M119" i="7"/>
  <c r="E119" i="7"/>
  <c r="P118" i="7"/>
  <c r="O118" i="7"/>
  <c r="N118" i="7"/>
  <c r="M118" i="7"/>
  <c r="E118" i="7"/>
  <c r="P117" i="7"/>
  <c r="O117" i="7"/>
  <c r="N117" i="7"/>
  <c r="M117" i="7"/>
  <c r="E117" i="7"/>
  <c r="P116" i="7"/>
  <c r="O116" i="7"/>
  <c r="N116" i="7"/>
  <c r="M116" i="7"/>
  <c r="E116" i="7"/>
  <c r="P115" i="7"/>
  <c r="O115" i="7"/>
  <c r="N115" i="7"/>
  <c r="M115" i="7"/>
  <c r="E115" i="7"/>
  <c r="P114" i="7"/>
  <c r="O114" i="7"/>
  <c r="N114" i="7"/>
  <c r="M114" i="7"/>
  <c r="E114" i="7"/>
  <c r="P113" i="7"/>
  <c r="O113" i="7"/>
  <c r="N113" i="7"/>
  <c r="M113" i="7"/>
  <c r="E113" i="7"/>
  <c r="P112" i="7"/>
  <c r="O112" i="7"/>
  <c r="N112" i="7"/>
  <c r="M112" i="7"/>
  <c r="E112" i="7"/>
  <c r="P111" i="7"/>
  <c r="O111" i="7"/>
  <c r="N111" i="7"/>
  <c r="M111" i="7"/>
  <c r="E111" i="7"/>
  <c r="P110" i="7"/>
  <c r="O110" i="7"/>
  <c r="N110" i="7"/>
  <c r="M110" i="7"/>
  <c r="E110" i="7"/>
  <c r="P109" i="7"/>
  <c r="O109" i="7"/>
  <c r="N109" i="7"/>
  <c r="M109" i="7"/>
  <c r="E109" i="7"/>
  <c r="P108" i="7"/>
  <c r="O108" i="7"/>
  <c r="N108" i="7"/>
  <c r="M108" i="7"/>
  <c r="E108" i="7"/>
  <c r="P107" i="7"/>
  <c r="O107" i="7"/>
  <c r="N107" i="7"/>
  <c r="M107" i="7"/>
  <c r="E107" i="7"/>
  <c r="P106" i="7"/>
  <c r="O106" i="7"/>
  <c r="N106" i="7"/>
  <c r="M106" i="7"/>
  <c r="E106" i="7"/>
  <c r="P105" i="7"/>
  <c r="O105" i="7"/>
  <c r="N105" i="7"/>
  <c r="M105" i="7"/>
  <c r="E105" i="7"/>
  <c r="P104" i="7"/>
  <c r="O104" i="7"/>
  <c r="N104" i="7"/>
  <c r="M104" i="7"/>
  <c r="E104" i="7"/>
  <c r="P103" i="7"/>
  <c r="O103" i="7"/>
  <c r="N103" i="7"/>
  <c r="M103" i="7"/>
  <c r="E103" i="7"/>
  <c r="P102" i="7"/>
  <c r="O102" i="7"/>
  <c r="N102" i="7"/>
  <c r="M102" i="7"/>
  <c r="E102" i="7"/>
  <c r="P101" i="7"/>
  <c r="O101" i="7"/>
  <c r="N101" i="7"/>
  <c r="M101" i="7"/>
  <c r="E101" i="7"/>
  <c r="P100" i="7"/>
  <c r="O100" i="7"/>
  <c r="N100" i="7"/>
  <c r="M100" i="7"/>
  <c r="E100" i="7"/>
  <c r="P99" i="7"/>
  <c r="O99" i="7"/>
  <c r="N99" i="7"/>
  <c r="M99" i="7"/>
  <c r="E99" i="7"/>
  <c r="P98" i="7"/>
  <c r="O98" i="7"/>
  <c r="N98" i="7"/>
  <c r="M98" i="7"/>
  <c r="E98" i="7"/>
  <c r="P97" i="7"/>
  <c r="O97" i="7"/>
  <c r="N97" i="7"/>
  <c r="M97" i="7"/>
  <c r="E97" i="7"/>
  <c r="P96" i="7"/>
  <c r="O96" i="7"/>
  <c r="N96" i="7"/>
  <c r="M96" i="7"/>
  <c r="E96" i="7"/>
  <c r="P95" i="7"/>
  <c r="O95" i="7"/>
  <c r="N95" i="7"/>
  <c r="M95" i="7"/>
  <c r="E95" i="7"/>
  <c r="P94" i="7"/>
  <c r="O94" i="7"/>
  <c r="N94" i="7"/>
  <c r="M94" i="7"/>
  <c r="E94" i="7"/>
  <c r="P93" i="7"/>
  <c r="O93" i="7"/>
  <c r="N93" i="7"/>
  <c r="M93" i="7"/>
  <c r="E93" i="7"/>
  <c r="P92" i="7"/>
  <c r="O92" i="7"/>
  <c r="N92" i="7"/>
  <c r="M92" i="7"/>
  <c r="E92" i="7"/>
  <c r="P91" i="7"/>
  <c r="O91" i="7"/>
  <c r="N91" i="7"/>
  <c r="M91" i="7"/>
  <c r="E91" i="7"/>
  <c r="P90" i="7"/>
  <c r="O90" i="7"/>
  <c r="N90" i="7"/>
  <c r="M90" i="7"/>
  <c r="E90" i="7"/>
  <c r="P89" i="7"/>
  <c r="O89" i="7"/>
  <c r="N89" i="7"/>
  <c r="M89" i="7"/>
  <c r="E89" i="7"/>
  <c r="P88" i="7"/>
  <c r="O88" i="7"/>
  <c r="N88" i="7"/>
  <c r="M88" i="7"/>
  <c r="E88" i="7"/>
  <c r="P87" i="7"/>
  <c r="O87" i="7"/>
  <c r="N87" i="7"/>
  <c r="M87" i="7"/>
  <c r="E87" i="7"/>
  <c r="P86" i="7"/>
  <c r="O86" i="7"/>
  <c r="N86" i="7"/>
  <c r="M86" i="7"/>
  <c r="E86" i="7"/>
  <c r="P85" i="7"/>
  <c r="O85" i="7"/>
  <c r="N85" i="7"/>
  <c r="M85" i="7"/>
  <c r="E85" i="7"/>
  <c r="P84" i="7"/>
  <c r="O84" i="7"/>
  <c r="N84" i="7"/>
  <c r="M84" i="7"/>
  <c r="E84" i="7"/>
  <c r="P83" i="7"/>
  <c r="O83" i="7"/>
  <c r="N83" i="7"/>
  <c r="M83" i="7"/>
  <c r="E83" i="7"/>
  <c r="P82" i="7"/>
  <c r="O82" i="7"/>
  <c r="N82" i="7"/>
  <c r="M82" i="7"/>
  <c r="E82" i="7"/>
  <c r="P81" i="7"/>
  <c r="O81" i="7"/>
  <c r="N81" i="7"/>
  <c r="M81" i="7"/>
  <c r="E81" i="7"/>
  <c r="P80" i="7"/>
  <c r="O80" i="7"/>
  <c r="N80" i="7"/>
  <c r="M80" i="7"/>
  <c r="E80" i="7"/>
  <c r="P79" i="7"/>
  <c r="O79" i="7"/>
  <c r="N79" i="7"/>
  <c r="M79" i="7"/>
  <c r="E79" i="7"/>
  <c r="P78" i="7"/>
  <c r="O78" i="7"/>
  <c r="N78" i="7"/>
  <c r="M78" i="7"/>
  <c r="E78" i="7"/>
  <c r="P77" i="7"/>
  <c r="O77" i="7"/>
  <c r="N77" i="7"/>
  <c r="M77" i="7"/>
  <c r="E77" i="7"/>
  <c r="P76" i="7"/>
  <c r="O76" i="7"/>
  <c r="N76" i="7"/>
  <c r="M76" i="7"/>
  <c r="E76" i="7"/>
  <c r="P75" i="7"/>
  <c r="O75" i="7"/>
  <c r="N75" i="7"/>
  <c r="M75" i="7"/>
  <c r="E75" i="7"/>
  <c r="P74" i="7"/>
  <c r="O74" i="7"/>
  <c r="N74" i="7"/>
  <c r="M74" i="7"/>
  <c r="E74" i="7"/>
  <c r="P73" i="7"/>
  <c r="O73" i="7"/>
  <c r="N73" i="7"/>
  <c r="M73" i="7"/>
  <c r="E73" i="7"/>
  <c r="P72" i="7"/>
  <c r="O72" i="7"/>
  <c r="N72" i="7"/>
  <c r="M72" i="7"/>
  <c r="E72" i="7"/>
  <c r="P71" i="7"/>
  <c r="O71" i="7"/>
  <c r="N71" i="7"/>
  <c r="M71" i="7"/>
  <c r="E71" i="7"/>
  <c r="P70" i="7"/>
  <c r="O70" i="7"/>
  <c r="N70" i="7"/>
  <c r="M70" i="7"/>
  <c r="E70" i="7"/>
  <c r="P69" i="7"/>
  <c r="O69" i="7"/>
  <c r="N69" i="7"/>
  <c r="M69" i="7"/>
  <c r="E69" i="7"/>
  <c r="P68" i="7"/>
  <c r="O68" i="7"/>
  <c r="N68" i="7"/>
  <c r="M68" i="7"/>
  <c r="E68" i="7"/>
  <c r="P67" i="7"/>
  <c r="O67" i="7"/>
  <c r="N67" i="7"/>
  <c r="M67" i="7"/>
  <c r="E67" i="7"/>
  <c r="P66" i="7"/>
  <c r="O66" i="7"/>
  <c r="N66" i="7"/>
  <c r="M66" i="7"/>
  <c r="E66" i="7"/>
  <c r="P65" i="7"/>
  <c r="O65" i="7"/>
  <c r="N65" i="7"/>
  <c r="M65" i="7"/>
  <c r="E65" i="7"/>
  <c r="P64" i="7"/>
  <c r="O64" i="7"/>
  <c r="N64" i="7"/>
  <c r="M64" i="7"/>
  <c r="E64" i="7"/>
  <c r="P63" i="7"/>
  <c r="O63" i="7"/>
  <c r="N63" i="7"/>
  <c r="M63" i="7"/>
  <c r="E63" i="7"/>
  <c r="P62" i="7"/>
  <c r="O62" i="7"/>
  <c r="N62" i="7"/>
  <c r="M62" i="7"/>
  <c r="E62" i="7"/>
  <c r="P61" i="7"/>
  <c r="O61" i="7"/>
  <c r="N61" i="7"/>
  <c r="M61" i="7"/>
  <c r="E61" i="7"/>
  <c r="P60" i="7"/>
  <c r="O60" i="7"/>
  <c r="N60" i="7"/>
  <c r="M60" i="7"/>
  <c r="E60" i="7"/>
  <c r="P59" i="7"/>
  <c r="O59" i="7"/>
  <c r="N59" i="7"/>
  <c r="M59" i="7"/>
  <c r="E59" i="7"/>
  <c r="P58" i="7"/>
  <c r="O58" i="7"/>
  <c r="N58" i="7"/>
  <c r="M58" i="7"/>
  <c r="E58" i="7"/>
  <c r="P57" i="7"/>
  <c r="O57" i="7"/>
  <c r="N57" i="7"/>
  <c r="M57" i="7"/>
  <c r="E57" i="7"/>
  <c r="P56" i="7"/>
  <c r="O56" i="7"/>
  <c r="N56" i="7"/>
  <c r="M56" i="7"/>
  <c r="E56" i="7"/>
  <c r="P55" i="7"/>
  <c r="O55" i="7"/>
  <c r="N55" i="7"/>
  <c r="M55" i="7"/>
  <c r="E55" i="7"/>
  <c r="P54" i="7"/>
  <c r="O54" i="7"/>
  <c r="N54" i="7"/>
  <c r="M54" i="7"/>
  <c r="E54" i="7"/>
  <c r="P53" i="7"/>
  <c r="O53" i="7"/>
  <c r="N53" i="7"/>
  <c r="M53" i="7"/>
  <c r="E53" i="7"/>
  <c r="P52" i="7"/>
  <c r="O52" i="7"/>
  <c r="N52" i="7"/>
  <c r="M52" i="7"/>
  <c r="E52" i="7"/>
  <c r="P51" i="7"/>
  <c r="O51" i="7"/>
  <c r="N51" i="7"/>
  <c r="M51" i="7"/>
  <c r="E51" i="7"/>
  <c r="P50" i="7"/>
  <c r="O50" i="7"/>
  <c r="N50" i="7"/>
  <c r="M50" i="7"/>
  <c r="E50" i="7"/>
  <c r="P49" i="7"/>
  <c r="O49" i="7"/>
  <c r="N49" i="7"/>
  <c r="M49" i="7"/>
  <c r="E49" i="7"/>
  <c r="P48" i="7"/>
  <c r="O48" i="7"/>
  <c r="N48" i="7"/>
  <c r="M48" i="7"/>
  <c r="E48" i="7"/>
  <c r="P47" i="7"/>
  <c r="O47" i="7"/>
  <c r="N47" i="7"/>
  <c r="M47" i="7"/>
  <c r="E47" i="7"/>
  <c r="P46" i="7"/>
  <c r="O46" i="7"/>
  <c r="N46" i="7"/>
  <c r="M46" i="7"/>
  <c r="E46" i="7"/>
  <c r="P45" i="7"/>
  <c r="O45" i="7"/>
  <c r="N45" i="7"/>
  <c r="M45" i="7"/>
  <c r="E45" i="7"/>
  <c r="P44" i="7"/>
  <c r="O44" i="7"/>
  <c r="N44" i="7"/>
  <c r="M44" i="7"/>
  <c r="E44" i="7"/>
  <c r="P43" i="7"/>
  <c r="O43" i="7"/>
  <c r="N43" i="7"/>
  <c r="M43" i="7"/>
  <c r="E43" i="7"/>
  <c r="P42" i="7"/>
  <c r="O42" i="7"/>
  <c r="N42" i="7"/>
  <c r="M42" i="7"/>
  <c r="E42" i="7"/>
  <c r="P41" i="7"/>
  <c r="O41" i="7"/>
  <c r="N41" i="7"/>
  <c r="M41" i="7"/>
  <c r="E41" i="7"/>
  <c r="P40" i="7"/>
  <c r="O40" i="7"/>
  <c r="N40" i="7"/>
  <c r="M40" i="7"/>
  <c r="E40" i="7"/>
  <c r="P39" i="7"/>
  <c r="O39" i="7"/>
  <c r="N39" i="7"/>
  <c r="M39" i="7"/>
  <c r="E39" i="7"/>
  <c r="P38" i="7"/>
  <c r="O38" i="7"/>
  <c r="N38" i="7"/>
  <c r="M38" i="7"/>
  <c r="E38" i="7"/>
  <c r="P37" i="7"/>
  <c r="O37" i="7"/>
  <c r="N37" i="7"/>
  <c r="M37" i="7"/>
  <c r="E37" i="7"/>
  <c r="P36" i="7"/>
  <c r="O36" i="7"/>
  <c r="N36" i="7"/>
  <c r="M36" i="7"/>
  <c r="E36" i="7"/>
  <c r="P35" i="7"/>
  <c r="O35" i="7"/>
  <c r="N35" i="7"/>
  <c r="M35" i="7"/>
  <c r="E35" i="7"/>
  <c r="P34" i="7"/>
  <c r="O34" i="7"/>
  <c r="N34" i="7"/>
  <c r="M34" i="7"/>
  <c r="E34" i="7"/>
  <c r="P33" i="7"/>
  <c r="O33" i="7"/>
  <c r="N33" i="7"/>
  <c r="M33" i="7"/>
  <c r="E33" i="7"/>
  <c r="P32" i="7"/>
  <c r="O32" i="7"/>
  <c r="N32" i="7"/>
  <c r="M32" i="7"/>
  <c r="E32" i="7"/>
  <c r="P31" i="7"/>
  <c r="O31" i="7"/>
  <c r="N31" i="7"/>
  <c r="M31" i="7"/>
  <c r="E31" i="7"/>
  <c r="P30" i="7"/>
  <c r="O30" i="7"/>
  <c r="N30" i="7"/>
  <c r="M30" i="7"/>
  <c r="E30" i="7"/>
  <c r="P29" i="7"/>
  <c r="O29" i="7"/>
  <c r="N29" i="7"/>
  <c r="M29" i="7"/>
  <c r="E29" i="7"/>
  <c r="P28" i="7"/>
  <c r="O28" i="7"/>
  <c r="N28" i="7"/>
  <c r="M28" i="7"/>
  <c r="E28" i="7"/>
  <c r="P27" i="7"/>
  <c r="O27" i="7"/>
  <c r="N27" i="7"/>
  <c r="M27" i="7"/>
  <c r="E27" i="7"/>
  <c r="P26" i="7"/>
  <c r="O26" i="7"/>
  <c r="N26" i="7"/>
  <c r="M26" i="7"/>
  <c r="E26" i="7"/>
  <c r="P25" i="7"/>
  <c r="O25" i="7"/>
  <c r="N25" i="7"/>
  <c r="M25" i="7"/>
  <c r="E25" i="7"/>
  <c r="P24" i="7"/>
  <c r="O24" i="7"/>
  <c r="N24" i="7"/>
  <c r="M24" i="7"/>
  <c r="E24" i="7"/>
  <c r="P23" i="7"/>
  <c r="O23" i="7"/>
  <c r="N23" i="7"/>
  <c r="M23" i="7"/>
  <c r="E23" i="7"/>
  <c r="P22" i="7"/>
  <c r="O22" i="7"/>
  <c r="N22" i="7"/>
  <c r="M22" i="7"/>
  <c r="E22" i="7"/>
  <c r="P21" i="7"/>
  <c r="O21" i="7"/>
  <c r="N21" i="7"/>
  <c r="M21" i="7"/>
  <c r="E21" i="7"/>
  <c r="P20" i="7"/>
  <c r="O20" i="7"/>
  <c r="N20" i="7"/>
  <c r="M20" i="7"/>
  <c r="E20" i="7"/>
  <c r="P19" i="7"/>
  <c r="O19" i="7"/>
  <c r="N19" i="7"/>
  <c r="M19" i="7"/>
  <c r="E19" i="7"/>
  <c r="P18" i="7"/>
  <c r="O18" i="7"/>
  <c r="N18" i="7"/>
  <c r="M18" i="7"/>
  <c r="E18" i="7"/>
  <c r="P17" i="7"/>
  <c r="O17" i="7"/>
  <c r="N17" i="7"/>
  <c r="M17" i="7"/>
  <c r="E17" i="7"/>
  <c r="P16" i="7"/>
  <c r="O16" i="7"/>
  <c r="N16" i="7"/>
  <c r="M16" i="7"/>
  <c r="E16" i="7"/>
  <c r="P15" i="7"/>
  <c r="O15" i="7"/>
  <c r="N15" i="7"/>
  <c r="M15" i="7"/>
  <c r="E15" i="7"/>
  <c r="P14" i="7"/>
  <c r="O14" i="7"/>
  <c r="N14" i="7"/>
  <c r="M14" i="7"/>
  <c r="E14" i="7"/>
  <c r="P13" i="7"/>
  <c r="O13" i="7"/>
  <c r="N13" i="7"/>
  <c r="M13" i="7"/>
  <c r="E13" i="7"/>
  <c r="P12" i="7"/>
  <c r="O12" i="7"/>
  <c r="N12" i="7"/>
  <c r="M12" i="7"/>
  <c r="E12" i="7"/>
  <c r="P11" i="7"/>
  <c r="O11" i="7"/>
  <c r="N11" i="7"/>
  <c r="M11" i="7"/>
  <c r="E11" i="7"/>
  <c r="P10" i="7"/>
  <c r="O10" i="7"/>
  <c r="N10" i="7"/>
  <c r="M10" i="7"/>
  <c r="E10" i="7"/>
  <c r="P9" i="7"/>
  <c r="O9" i="7"/>
  <c r="N9" i="7"/>
  <c r="M9" i="7"/>
  <c r="E9" i="7"/>
  <c r="P8" i="7"/>
  <c r="O8" i="7"/>
  <c r="N8" i="7"/>
  <c r="M8" i="7"/>
  <c r="E8" i="7"/>
  <c r="P7" i="7"/>
  <c r="O7" i="7"/>
  <c r="N7" i="7"/>
  <c r="M7" i="7"/>
  <c r="E7" i="7"/>
  <c r="P6" i="7"/>
  <c r="O6" i="7"/>
  <c r="N6" i="7"/>
  <c r="M6" i="7"/>
  <c r="E6" i="7"/>
  <c r="P4" i="7"/>
  <c r="O4" i="7"/>
  <c r="N4" i="7"/>
  <c r="M4" i="7"/>
  <c r="E4" i="7"/>
  <c r="P3" i="7"/>
  <c r="O3" i="7"/>
  <c r="N3" i="7"/>
  <c r="M3" i="7"/>
  <c r="E3" i="7"/>
  <c r="P2" i="7"/>
  <c r="B7" i="9" s="1"/>
  <c r="O2" i="7"/>
  <c r="B6" i="9" s="1"/>
  <c r="N2" i="7"/>
  <c r="M2" i="7"/>
  <c r="E2" i="7"/>
  <c r="B5" i="9" s="1"/>
  <c r="B16" i="10" l="1"/>
  <c r="C16" i="10"/>
  <c r="K16" i="10"/>
  <c r="J16" i="10"/>
  <c r="I16" i="10"/>
  <c r="G16" i="10"/>
  <c r="F16" i="10"/>
  <c r="N16" i="10"/>
  <c r="M16" i="10"/>
  <c r="L16" i="10"/>
  <c r="N103" i="10"/>
  <c r="E103" i="10"/>
  <c r="M103" i="10"/>
  <c r="L103" i="10"/>
  <c r="K103" i="10"/>
  <c r="J103" i="10"/>
  <c r="I103" i="10"/>
  <c r="H103" i="10"/>
  <c r="G103" i="10"/>
  <c r="F103" i="10"/>
  <c r="C114" i="10"/>
  <c r="L55" i="10"/>
  <c r="N55" i="10"/>
  <c r="F55" i="10"/>
  <c r="E55" i="10"/>
  <c r="D55" i="10"/>
  <c r="C55" i="10"/>
  <c r="B55" i="10"/>
  <c r="I195" i="10"/>
  <c r="F195" i="10"/>
  <c r="E195" i="10"/>
  <c r="L195" i="10"/>
  <c r="N195" i="10"/>
  <c r="M195" i="10"/>
  <c r="K195" i="10"/>
  <c r="E41" i="10"/>
  <c r="M41" i="10"/>
  <c r="L41" i="10"/>
  <c r="J41" i="10"/>
  <c r="I41" i="10"/>
  <c r="K41" i="10"/>
  <c r="N163" i="10"/>
  <c r="M163" i="10"/>
  <c r="K163" i="10"/>
  <c r="I163" i="10"/>
  <c r="H163" i="10"/>
  <c r="G163" i="10"/>
  <c r="F163" i="10"/>
  <c r="E183" i="10"/>
  <c r="B41" i="10"/>
  <c r="L82" i="10"/>
  <c r="H195" i="10"/>
  <c r="C41" i="10"/>
  <c r="B150" i="10"/>
  <c r="J195" i="10"/>
  <c r="I108" i="10"/>
  <c r="G139" i="10"/>
  <c r="D150" i="10"/>
  <c r="E163" i="10"/>
  <c r="I183" i="10"/>
  <c r="G41" i="10"/>
  <c r="N53" i="10"/>
  <c r="J53" i="10"/>
  <c r="M53" i="10"/>
  <c r="K53" i="10"/>
  <c r="I53" i="10"/>
  <c r="L53" i="10"/>
  <c r="H53" i="10"/>
  <c r="M89" i="10"/>
  <c r="J89" i="10"/>
  <c r="I89" i="10"/>
  <c r="H89" i="10"/>
  <c r="H139" i="10"/>
  <c r="H150" i="10"/>
  <c r="E200" i="10"/>
  <c r="I200" i="10"/>
  <c r="H200" i="10"/>
  <c r="D200" i="10"/>
  <c r="B200" i="10"/>
  <c r="M200" i="10"/>
  <c r="L200" i="10"/>
  <c r="K200" i="10"/>
  <c r="J200" i="10"/>
  <c r="G200" i="10"/>
  <c r="H41" i="10"/>
  <c r="B53" i="10"/>
  <c r="B66" i="10"/>
  <c r="E89" i="10"/>
  <c r="I150" i="10"/>
  <c r="F200" i="10"/>
  <c r="N41" i="10"/>
  <c r="E48" i="10"/>
  <c r="C53" i="10"/>
  <c r="C103" i="10"/>
  <c r="L96" i="10"/>
  <c r="K96" i="10"/>
  <c r="N96" i="10"/>
  <c r="M96" i="10"/>
  <c r="J96" i="10"/>
  <c r="I96" i="10"/>
  <c r="M188" i="10"/>
  <c r="K188" i="10"/>
  <c r="J188" i="10"/>
  <c r="I188" i="10"/>
  <c r="H188" i="10"/>
  <c r="G188" i="10"/>
  <c r="E188" i="10"/>
  <c r="D188" i="10"/>
  <c r="J55" i="10"/>
  <c r="K55" i="10"/>
  <c r="H96" i="10"/>
  <c r="M55" i="10"/>
  <c r="I106" i="10"/>
  <c r="D183" i="10"/>
  <c r="C195" i="10"/>
  <c r="F19" i="10"/>
  <c r="H19" i="10"/>
  <c r="G19" i="10"/>
  <c r="I139" i="10"/>
  <c r="E139" i="10"/>
  <c r="C139" i="10"/>
  <c r="N139" i="10"/>
  <c r="M139" i="10"/>
  <c r="L139" i="10"/>
  <c r="G195" i="10"/>
  <c r="B139" i="10"/>
  <c r="B163" i="10"/>
  <c r="F139" i="10"/>
  <c r="C163" i="10"/>
  <c r="F41" i="10"/>
  <c r="C47" i="10"/>
  <c r="N47" i="10"/>
  <c r="J47" i="10"/>
  <c r="K47" i="10"/>
  <c r="I47" i="10"/>
  <c r="G47" i="10"/>
  <c r="F47" i="10"/>
  <c r="H47" i="10"/>
  <c r="M47" i="10"/>
  <c r="L47" i="10"/>
  <c r="E47" i="10"/>
  <c r="D47" i="10"/>
  <c r="B47" i="10"/>
  <c r="N66" i="10"/>
  <c r="J66" i="10"/>
  <c r="I66" i="10"/>
  <c r="M66" i="10"/>
  <c r="L66" i="10"/>
  <c r="K66" i="10"/>
  <c r="J123" i="10"/>
  <c r="D53" i="10"/>
  <c r="D66" i="10"/>
  <c r="F111" i="10"/>
  <c r="E111" i="10"/>
  <c r="D111" i="10"/>
  <c r="C111" i="10"/>
  <c r="B111" i="10"/>
  <c r="B126" i="10"/>
  <c r="E126" i="10"/>
  <c r="J126" i="10"/>
  <c r="I126" i="10"/>
  <c r="F126" i="10"/>
  <c r="H126" i="10"/>
  <c r="G126" i="10"/>
  <c r="C126" i="10"/>
  <c r="N126" i="10"/>
  <c r="M126" i="10"/>
  <c r="L126" i="10"/>
  <c r="K126" i="10"/>
  <c r="M151" i="10"/>
  <c r="F151" i="10"/>
  <c r="K151" i="10"/>
  <c r="I151" i="10"/>
  <c r="E151" i="10"/>
  <c r="G37" i="10"/>
  <c r="G48" i="10"/>
  <c r="F53" i="10"/>
  <c r="E66" i="10"/>
  <c r="G111" i="10"/>
  <c r="N49" i="10"/>
  <c r="M49" i="10"/>
  <c r="L49" i="10"/>
  <c r="B114" i="10"/>
  <c r="M114" i="10"/>
  <c r="L114" i="10"/>
  <c r="G114" i="10"/>
  <c r="F114" i="10"/>
  <c r="E16" i="10"/>
  <c r="D114" i="10"/>
  <c r="G144" i="10"/>
  <c r="G55" i="10"/>
  <c r="H144" i="10"/>
  <c r="F11" i="10"/>
  <c r="K11" i="10"/>
  <c r="G11" i="10"/>
  <c r="N11" i="10"/>
  <c r="J11" i="10"/>
  <c r="M11" i="10"/>
  <c r="L11" i="10"/>
  <c r="I11" i="10"/>
  <c r="H11" i="10"/>
  <c r="E11" i="10"/>
  <c r="D11" i="10"/>
  <c r="H55" i="10"/>
  <c r="C11" i="10"/>
  <c r="I55" i="10"/>
  <c r="L145" i="10"/>
  <c r="K145" i="10"/>
  <c r="J145" i="10"/>
  <c r="I145" i="10"/>
  <c r="H145" i="10"/>
  <c r="F145" i="10"/>
  <c r="E145" i="10"/>
  <c r="B188" i="10"/>
  <c r="G96" i="10"/>
  <c r="D145" i="10"/>
  <c r="J183" i="10"/>
  <c r="C183" i="10"/>
  <c r="B183" i="10"/>
  <c r="N183" i="10"/>
  <c r="M183" i="10"/>
  <c r="L183" i="10"/>
  <c r="K183" i="10"/>
  <c r="N61" i="10"/>
  <c r="L61" i="10"/>
  <c r="K61" i="10"/>
  <c r="J61" i="10"/>
  <c r="I61" i="10"/>
  <c r="H61" i="10"/>
  <c r="G61" i="10"/>
  <c r="F61" i="10"/>
  <c r="E46" i="10"/>
  <c r="N46" i="10"/>
  <c r="M46" i="10"/>
  <c r="L46" i="10"/>
  <c r="K46" i="10"/>
  <c r="J46" i="10"/>
  <c r="I46" i="10"/>
  <c r="H46" i="10"/>
  <c r="D61" i="10"/>
  <c r="L150" i="10"/>
  <c r="K150" i="10"/>
  <c r="G150" i="10"/>
  <c r="E150" i="10"/>
  <c r="G183" i="10"/>
  <c r="F46" i="10"/>
  <c r="D30" i="10"/>
  <c r="H30" i="10"/>
  <c r="C30" i="10"/>
  <c r="N30" i="10"/>
  <c r="M30" i="10"/>
  <c r="L30" i="10"/>
  <c r="K30" i="10"/>
  <c r="J30" i="10"/>
  <c r="G72" i="10"/>
  <c r="L72" i="10"/>
  <c r="K72" i="10"/>
  <c r="H72" i="10"/>
  <c r="F72" i="10"/>
  <c r="B72" i="10"/>
  <c r="E93" i="10"/>
  <c r="K93" i="10"/>
  <c r="J93" i="10"/>
  <c r="L93" i="10"/>
  <c r="I93" i="10"/>
  <c r="H93" i="10"/>
  <c r="N119" i="10"/>
  <c r="M119" i="10"/>
  <c r="K119" i="10"/>
  <c r="H119" i="10"/>
  <c r="G119" i="10"/>
  <c r="F119" i="10"/>
  <c r="B30" i="10"/>
  <c r="M72" i="10"/>
  <c r="L102" i="10"/>
  <c r="I102" i="10"/>
  <c r="E119" i="10"/>
  <c r="J128" i="10"/>
  <c r="L128" i="10"/>
  <c r="G128" i="10"/>
  <c r="F128" i="10"/>
  <c r="N128" i="10"/>
  <c r="M128" i="10"/>
  <c r="B133" i="10"/>
  <c r="J172" i="10"/>
  <c r="G172" i="10"/>
  <c r="F172" i="10"/>
  <c r="C172" i="10"/>
  <c r="B172" i="10"/>
  <c r="L172" i="10"/>
  <c r="N172" i="10"/>
  <c r="M172" i="10"/>
  <c r="K172" i="10"/>
  <c r="I172" i="10"/>
  <c r="B192" i="10"/>
  <c r="M192" i="10"/>
  <c r="L192" i="10"/>
  <c r="I192" i="10"/>
  <c r="H192" i="10"/>
  <c r="N192" i="10"/>
  <c r="K192" i="10"/>
  <c r="J192" i="10"/>
  <c r="G192" i="10"/>
  <c r="E30" i="10"/>
  <c r="H66" i="10"/>
  <c r="N72" i="10"/>
  <c r="G102" i="10"/>
  <c r="B128" i="10"/>
  <c r="D172" i="10"/>
  <c r="C192" i="10"/>
  <c r="F30" i="10"/>
  <c r="M64" i="10"/>
  <c r="L64" i="10"/>
  <c r="N102" i="10"/>
  <c r="C128" i="10"/>
  <c r="K135" i="10"/>
  <c r="J135" i="10"/>
  <c r="N135" i="10"/>
  <c r="M135" i="10"/>
  <c r="L135" i="10"/>
  <c r="I135" i="10"/>
  <c r="G135" i="10"/>
  <c r="E135" i="10"/>
  <c r="C135" i="10"/>
  <c r="E172" i="10"/>
  <c r="D192" i="10"/>
  <c r="M168" i="10"/>
  <c r="L168" i="10"/>
  <c r="I168" i="10"/>
  <c r="G168" i="10"/>
  <c r="K168" i="10"/>
  <c r="N168" i="10"/>
  <c r="J168" i="10"/>
  <c r="D26" i="10"/>
  <c r="N26" i="10"/>
  <c r="E38" i="10"/>
  <c r="N38" i="10"/>
  <c r="L38" i="10"/>
  <c r="K38" i="10"/>
  <c r="M38" i="10"/>
  <c r="N70" i="10"/>
  <c r="J70" i="10"/>
  <c r="H70" i="10"/>
  <c r="F70" i="10"/>
  <c r="E70" i="10"/>
  <c r="G70" i="10"/>
  <c r="J109" i="10"/>
  <c r="I109" i="10"/>
  <c r="G109" i="10"/>
  <c r="F109" i="10"/>
  <c r="C109" i="10"/>
  <c r="E109" i="10"/>
  <c r="D109" i="10"/>
  <c r="B109" i="10"/>
  <c r="B168" i="10"/>
  <c r="I178" i="10"/>
  <c r="F178" i="10"/>
  <c r="B26" i="10"/>
  <c r="I38" i="10"/>
  <c r="B70" i="10"/>
  <c r="H109" i="10"/>
  <c r="N124" i="10"/>
  <c r="M124" i="10"/>
  <c r="C168" i="10"/>
  <c r="E178" i="10"/>
  <c r="F22" i="10"/>
  <c r="J22" i="10"/>
  <c r="E22" i="10"/>
  <c r="C26" i="10"/>
  <c r="J38" i="10"/>
  <c r="C70" i="10"/>
  <c r="K109" i="10"/>
  <c r="G124" i="10"/>
  <c r="M154" i="10"/>
  <c r="L154" i="10"/>
  <c r="I154" i="10"/>
  <c r="H154" i="10"/>
  <c r="D168" i="10"/>
  <c r="I179" i="10"/>
  <c r="G179" i="10"/>
  <c r="J194" i="10"/>
  <c r="N194" i="10"/>
  <c r="M194" i="10"/>
  <c r="C22" i="10"/>
  <c r="E26" i="10"/>
  <c r="H50" i="10"/>
  <c r="K50" i="10"/>
  <c r="J50" i="10"/>
  <c r="G50" i="10"/>
  <c r="F50" i="10"/>
  <c r="I50" i="10"/>
  <c r="D70" i="10"/>
  <c r="C81" i="10"/>
  <c r="L109" i="10"/>
  <c r="I124" i="10"/>
  <c r="B154" i="10"/>
  <c r="E168" i="10"/>
  <c r="C179" i="10"/>
  <c r="B194" i="10"/>
  <c r="B17" i="10"/>
  <c r="D22" i="10"/>
  <c r="F26" i="10"/>
  <c r="B50" i="10"/>
  <c r="F68" i="10"/>
  <c r="K68" i="10"/>
  <c r="J68" i="10"/>
  <c r="H68" i="10"/>
  <c r="G68" i="10"/>
  <c r="I68" i="10"/>
  <c r="L70" i="10"/>
  <c r="D81" i="10"/>
  <c r="E97" i="10"/>
  <c r="K97" i="10"/>
  <c r="J124" i="10"/>
  <c r="M140" i="10"/>
  <c r="C154" i="10"/>
  <c r="J179" i="10"/>
  <c r="C194" i="10"/>
  <c r="K5" i="10"/>
  <c r="C17" i="10"/>
  <c r="G22" i="10"/>
  <c r="G26" i="10"/>
  <c r="D50" i="10"/>
  <c r="C58" i="10"/>
  <c r="M58" i="10"/>
  <c r="I58" i="10"/>
  <c r="N58" i="10"/>
  <c r="B68" i="10"/>
  <c r="M70" i="10"/>
  <c r="E81" i="10"/>
  <c r="F97" i="10"/>
  <c r="L110" i="10"/>
  <c r="G115" i="10"/>
  <c r="L124" i="10"/>
  <c r="E154" i="10"/>
  <c r="L179" i="10"/>
  <c r="N185" i="10"/>
  <c r="K185" i="10"/>
  <c r="M185" i="10"/>
  <c r="G185" i="10"/>
  <c r="D194" i="10"/>
  <c r="H22" i="10"/>
  <c r="H26" i="10"/>
  <c r="K31" i="10"/>
  <c r="B58" i="10"/>
  <c r="C68" i="10"/>
  <c r="F81" i="10"/>
  <c r="G97" i="10"/>
  <c r="M110" i="10"/>
  <c r="N141" i="10"/>
  <c r="M141" i="10"/>
  <c r="K141" i="10"/>
  <c r="I141" i="10"/>
  <c r="F141" i="10"/>
  <c r="H141" i="10"/>
  <c r="G141" i="10"/>
  <c r="E141" i="10"/>
  <c r="G154" i="10"/>
  <c r="M179" i="10"/>
  <c r="F185" i="10"/>
  <c r="E194" i="10"/>
  <c r="N202" i="10"/>
  <c r="L202" i="10"/>
  <c r="J202" i="10"/>
  <c r="I202" i="10"/>
  <c r="E202" i="10"/>
  <c r="G202" i="10"/>
  <c r="F202" i="10"/>
  <c r="D202" i="10"/>
  <c r="M26" i="10"/>
  <c r="M105" i="10"/>
  <c r="G105" i="10"/>
  <c r="E105" i="10"/>
  <c r="C149" i="10"/>
  <c r="I18" i="10"/>
  <c r="D18" i="10"/>
  <c r="N44" i="10"/>
  <c r="L44" i="10"/>
  <c r="K44" i="10"/>
  <c r="H44" i="10"/>
  <c r="J44" i="10"/>
  <c r="I44" i="10"/>
  <c r="C62" i="10"/>
  <c r="G77" i="10"/>
  <c r="B105" i="10"/>
  <c r="J131" i="10"/>
  <c r="D149" i="10"/>
  <c r="L180" i="10"/>
  <c r="B9" i="10"/>
  <c r="C18" i="10"/>
  <c r="M22" i="10"/>
  <c r="B44" i="10"/>
  <c r="E62" i="10"/>
  <c r="H77" i="10"/>
  <c r="J81" i="10"/>
  <c r="C105" i="10"/>
  <c r="K132" i="10"/>
  <c r="E132" i="10"/>
  <c r="C132" i="10"/>
  <c r="J143" i="10"/>
  <c r="I143" i="10"/>
  <c r="B147" i="10"/>
  <c r="G149" i="10"/>
  <c r="I155" i="10"/>
  <c r="M155" i="10"/>
  <c r="K155" i="10"/>
  <c r="J155" i="10"/>
  <c r="I194" i="10"/>
  <c r="C9" i="10"/>
  <c r="E18" i="10"/>
  <c r="N22" i="10"/>
  <c r="C44" i="10"/>
  <c r="G62" i="10"/>
  <c r="I77" i="10"/>
  <c r="K81" i="10"/>
  <c r="I105" i="10"/>
  <c r="B132" i="10"/>
  <c r="K143" i="10"/>
  <c r="C147" i="10"/>
  <c r="L149" i="10"/>
  <c r="C155" i="10"/>
  <c r="E176" i="10"/>
  <c r="C176" i="10"/>
  <c r="N181" i="10"/>
  <c r="M181" i="10"/>
  <c r="K181" i="10"/>
  <c r="J181" i="10"/>
  <c r="G181" i="10"/>
  <c r="I181" i="10"/>
  <c r="H181" i="10"/>
  <c r="F181" i="10"/>
  <c r="K194" i="10"/>
  <c r="F204" i="10"/>
  <c r="E204" i="10"/>
  <c r="G18" i="10"/>
  <c r="D44" i="10"/>
  <c r="I62" i="10"/>
  <c r="C69" i="10"/>
  <c r="I69" i="10"/>
  <c r="E69" i="10"/>
  <c r="D69" i="10"/>
  <c r="L81" i="10"/>
  <c r="F95" i="10"/>
  <c r="C95" i="10"/>
  <c r="J95" i="10"/>
  <c r="I95" i="10"/>
  <c r="G95" i="10"/>
  <c r="E95" i="10"/>
  <c r="H95" i="10"/>
  <c r="K105" i="10"/>
  <c r="G132" i="10"/>
  <c r="N137" i="10"/>
  <c r="M137" i="10"/>
  <c r="I137" i="10"/>
  <c r="H137" i="10"/>
  <c r="L137" i="10"/>
  <c r="K137" i="10"/>
  <c r="L143" i="10"/>
  <c r="E155" i="10"/>
  <c r="M161" i="10"/>
  <c r="H161" i="10"/>
  <c r="E161" i="10"/>
  <c r="D161" i="10"/>
  <c r="B176" i="10"/>
  <c r="E181" i="10"/>
  <c r="L194" i="10"/>
  <c r="D204" i="10"/>
  <c r="F116" i="10"/>
  <c r="E116" i="10"/>
  <c r="N32" i="10"/>
  <c r="J32" i="10"/>
  <c r="D24" i="10"/>
  <c r="B63" i="10"/>
  <c r="J79" i="10"/>
  <c r="F83" i="10"/>
  <c r="C113" i="10"/>
  <c r="E129" i="10"/>
  <c r="F134" i="10"/>
  <c r="E146" i="10"/>
  <c r="D146" i="10"/>
  <c r="C160" i="10"/>
  <c r="D177" i="10"/>
  <c r="B198" i="10"/>
  <c r="B7" i="10"/>
  <c r="E24" i="10"/>
  <c r="C32" i="10"/>
  <c r="C56" i="10"/>
  <c r="C63" i="10"/>
  <c r="I74" i="10"/>
  <c r="F104" i="10"/>
  <c r="C117" i="10"/>
  <c r="F129" i="10"/>
  <c r="J134" i="10"/>
  <c r="B146" i="10"/>
  <c r="D160" i="10"/>
  <c r="I166" i="10"/>
  <c r="H166" i="10"/>
  <c r="D166" i="10"/>
  <c r="B166" i="10"/>
  <c r="E177" i="10"/>
  <c r="G190" i="10"/>
  <c r="E190" i="10"/>
  <c r="I193" i="10"/>
  <c r="E198" i="10"/>
  <c r="K113" i="10"/>
  <c r="I113" i="10"/>
  <c r="I83" i="10"/>
  <c r="E83" i="10"/>
  <c r="D83" i="10"/>
  <c r="B113" i="10"/>
  <c r="G116" i="10"/>
  <c r="C129" i="10"/>
  <c r="C177" i="10"/>
  <c r="B32" i="10"/>
  <c r="D7" i="10"/>
  <c r="F24" i="10"/>
  <c r="D32" i="10"/>
  <c r="D56" i="10"/>
  <c r="F63" i="10"/>
  <c r="M75" i="10"/>
  <c r="F75" i="10"/>
  <c r="C75" i="10"/>
  <c r="D84" i="10"/>
  <c r="C84" i="10"/>
  <c r="G104" i="10"/>
  <c r="L113" i="10"/>
  <c r="H117" i="10"/>
  <c r="K134" i="10"/>
  <c r="G146" i="10"/>
  <c r="I156" i="10"/>
  <c r="H156" i="10"/>
  <c r="M160" i="10"/>
  <c r="H177" i="10"/>
  <c r="K193" i="10"/>
  <c r="G198" i="10"/>
  <c r="G24" i="10"/>
  <c r="E32" i="10"/>
  <c r="I35" i="10"/>
  <c r="E35" i="10"/>
  <c r="E56" i="10"/>
  <c r="K60" i="10"/>
  <c r="G63" i="10"/>
  <c r="B75" i="10"/>
  <c r="E84" i="10"/>
  <c r="M113" i="10"/>
  <c r="I117" i="10"/>
  <c r="I146" i="10"/>
  <c r="C156" i="10"/>
  <c r="G166" i="10"/>
  <c r="I190" i="10"/>
  <c r="D87" i="10"/>
  <c r="C148" i="10"/>
  <c r="B197" i="10"/>
  <c r="G148" i="10"/>
  <c r="G197" i="10"/>
  <c r="N34" i="10"/>
  <c r="K34" i="10"/>
  <c r="J34" i="10"/>
  <c r="I34" i="10"/>
  <c r="H34" i="10"/>
  <c r="B29" i="10"/>
  <c r="B90" i="10"/>
  <c r="C90" i="10"/>
  <c r="C125" i="10"/>
  <c r="D34" i="10"/>
  <c r="E34" i="10"/>
  <c r="K83" i="10"/>
  <c r="J138" i="10"/>
  <c r="H138" i="10"/>
  <c r="B138" i="10"/>
  <c r="N138" i="10"/>
  <c r="L138" i="10"/>
  <c r="K138" i="10"/>
  <c r="M138" i="10"/>
  <c r="F138" i="10"/>
  <c r="E138" i="10"/>
  <c r="D138" i="10"/>
  <c r="C138" i="10"/>
  <c r="F165" i="10"/>
  <c r="D165" i="10"/>
  <c r="N165" i="10"/>
  <c r="E165" i="10"/>
  <c r="C165" i="10"/>
  <c r="I165" i="10"/>
  <c r="M165" i="10"/>
  <c r="L165" i="10"/>
  <c r="K165" i="10"/>
  <c r="H165" i="10"/>
  <c r="J165" i="10"/>
  <c r="N21" i="10"/>
  <c r="L21" i="10"/>
  <c r="K21" i="10"/>
  <c r="J21" i="10"/>
  <c r="I21" i="10"/>
  <c r="H21" i="10"/>
  <c r="G21" i="10"/>
  <c r="F34" i="10"/>
  <c r="K161" i="10"/>
  <c r="K59" i="10"/>
  <c r="I59" i="10"/>
  <c r="M59" i="10"/>
  <c r="L59" i="10"/>
  <c r="G59" i="10"/>
  <c r="F59" i="10"/>
  <c r="E59" i="10"/>
  <c r="D59" i="10"/>
  <c r="N59" i="10"/>
  <c r="I138" i="10"/>
  <c r="D158" i="10"/>
  <c r="M10" i="10"/>
  <c r="E112" i="10"/>
  <c r="B57" i="10"/>
  <c r="D5" i="10"/>
  <c r="F21" i="10"/>
  <c r="C57" i="10"/>
  <c r="H98" i="10"/>
  <c r="M43" i="10"/>
  <c r="N43" i="10"/>
  <c r="K43" i="10"/>
  <c r="F43" i="10"/>
  <c r="J43" i="10"/>
  <c r="I43" i="10"/>
  <c r="H43" i="10"/>
  <c r="G43" i="10"/>
  <c r="D57" i="10"/>
  <c r="C67" i="10"/>
  <c r="B78" i="10"/>
  <c r="D8" i="10"/>
  <c r="C8" i="10"/>
  <c r="E8" i="10"/>
  <c r="N27" i="10"/>
  <c r="D38" i="10"/>
  <c r="E57" i="10"/>
  <c r="D67" i="10"/>
  <c r="C78" i="10"/>
  <c r="C93" i="10"/>
  <c r="N199" i="10"/>
  <c r="L199" i="10"/>
  <c r="K199" i="10"/>
  <c r="F199" i="10"/>
  <c r="M199" i="10"/>
  <c r="G199" i="10"/>
  <c r="E199" i="10"/>
  <c r="D199" i="10"/>
  <c r="C199" i="10"/>
  <c r="H199" i="10"/>
  <c r="J199" i="10"/>
  <c r="I199" i="10"/>
  <c r="G5" i="10"/>
  <c r="I13" i="10"/>
  <c r="D19" i="10"/>
  <c r="N19" i="10"/>
  <c r="I19" i="10"/>
  <c r="M19" i="10"/>
  <c r="L19" i="10"/>
  <c r="K19" i="10"/>
  <c r="J19" i="10"/>
  <c r="C43" i="10"/>
  <c r="K48" i="10"/>
  <c r="I48" i="10"/>
  <c r="N48" i="10"/>
  <c r="F57" i="10"/>
  <c r="C71" i="10"/>
  <c r="D78" i="10"/>
  <c r="F88" i="10"/>
  <c r="D88" i="10"/>
  <c r="L88" i="10"/>
  <c r="K88" i="10"/>
  <c r="H88" i="10"/>
  <c r="G88" i="10"/>
  <c r="E88" i="10"/>
  <c r="C88" i="10"/>
  <c r="M88" i="10"/>
  <c r="J88" i="10"/>
  <c r="N88" i="10"/>
  <c r="D93" i="10"/>
  <c r="C189" i="10"/>
  <c r="B199" i="10"/>
  <c r="L164" i="10"/>
  <c r="J164" i="10"/>
  <c r="F164" i="10"/>
  <c r="E164" i="10"/>
  <c r="D164" i="10"/>
  <c r="C164" i="10"/>
  <c r="N164" i="10"/>
  <c r="M164" i="10"/>
  <c r="K164" i="10"/>
  <c r="I164" i="10"/>
  <c r="L15" i="10"/>
  <c r="K15" i="10"/>
  <c r="J15" i="10"/>
  <c r="I15" i="10"/>
  <c r="N15" i="10"/>
  <c r="M15" i="10"/>
  <c r="I36" i="10"/>
  <c r="H36" i="10"/>
  <c r="E36" i="10"/>
  <c r="D36" i="10"/>
  <c r="C36" i="10"/>
  <c r="B36" i="10"/>
  <c r="B125" i="10"/>
  <c r="N23" i="10"/>
  <c r="J23" i="10"/>
  <c r="I23" i="10"/>
  <c r="H23" i="10"/>
  <c r="L23" i="10"/>
  <c r="D23" i="10"/>
  <c r="K23" i="10"/>
  <c r="G23" i="10"/>
  <c r="F23" i="10"/>
  <c r="E23" i="10"/>
  <c r="N52" i="10"/>
  <c r="K52" i="10"/>
  <c r="J52" i="10"/>
  <c r="I52" i="10"/>
  <c r="H52" i="10"/>
  <c r="D52" i="10"/>
  <c r="C52" i="10"/>
  <c r="B52" i="10"/>
  <c r="H164" i="10"/>
  <c r="E52" i="10"/>
  <c r="L153" i="10"/>
  <c r="K153" i="10"/>
  <c r="G153" i="10"/>
  <c r="E153" i="10"/>
  <c r="D153" i="10"/>
  <c r="N153" i="10"/>
  <c r="I153" i="10"/>
  <c r="H153" i="10"/>
  <c r="F153" i="10"/>
  <c r="C153" i="10"/>
  <c r="I161" i="10"/>
  <c r="K36" i="10"/>
  <c r="F52" i="10"/>
  <c r="B112" i="10"/>
  <c r="B153" i="10"/>
  <c r="B21" i="10"/>
  <c r="G34" i="10"/>
  <c r="G52" i="10"/>
  <c r="L161" i="10"/>
  <c r="G165" i="10"/>
  <c r="L34" i="10"/>
  <c r="B59" i="10"/>
  <c r="N122" i="10"/>
  <c r="L122" i="10"/>
  <c r="F122" i="10"/>
  <c r="M122" i="10"/>
  <c r="H122" i="10"/>
  <c r="E122" i="10"/>
  <c r="D122" i="10"/>
  <c r="K122" i="10"/>
  <c r="J122" i="10"/>
  <c r="D21" i="10"/>
  <c r="B98" i="10"/>
  <c r="K98" i="10"/>
  <c r="J98" i="10"/>
  <c r="G98" i="10"/>
  <c r="F98" i="10"/>
  <c r="E98" i="10"/>
  <c r="D98" i="10"/>
  <c r="N98" i="10"/>
  <c r="M98" i="10"/>
  <c r="F158" i="10"/>
  <c r="E13" i="10"/>
  <c r="E21" i="10"/>
  <c r="I67" i="10"/>
  <c r="G67" i="10"/>
  <c r="N67" i="10"/>
  <c r="M67" i="10"/>
  <c r="L67" i="10"/>
  <c r="K67" i="10"/>
  <c r="C98" i="10"/>
  <c r="L175" i="10"/>
  <c r="I175" i="10"/>
  <c r="E175" i="10"/>
  <c r="D175" i="10"/>
  <c r="C175" i="10"/>
  <c r="B175" i="10"/>
  <c r="N175" i="10"/>
  <c r="M175" i="10"/>
  <c r="K175" i="10"/>
  <c r="H175" i="10"/>
  <c r="G175" i="10"/>
  <c r="J175" i="10"/>
  <c r="C27" i="10"/>
  <c r="B67" i="10"/>
  <c r="E5" i="10"/>
  <c r="C38" i="10"/>
  <c r="B38" i="10"/>
  <c r="B159" i="10"/>
  <c r="E159" i="10"/>
  <c r="N159" i="10"/>
  <c r="M159" i="10"/>
  <c r="L159" i="10"/>
  <c r="F159" i="10"/>
  <c r="K159" i="10"/>
  <c r="J159" i="10"/>
  <c r="I159" i="10"/>
  <c r="H159" i="10"/>
  <c r="G159" i="10"/>
  <c r="L120" i="10"/>
  <c r="J120" i="10"/>
  <c r="H120" i="10"/>
  <c r="G120" i="10"/>
  <c r="I120" i="10"/>
  <c r="F120" i="10"/>
  <c r="N120" i="10"/>
  <c r="M120" i="10"/>
  <c r="K120" i="10"/>
  <c r="B189" i="10"/>
  <c r="B8" i="10"/>
  <c r="J28" i="10"/>
  <c r="G28" i="10"/>
  <c r="F28" i="10"/>
  <c r="E28" i="10"/>
  <c r="D28" i="10"/>
  <c r="H5" i="10"/>
  <c r="J13" i="10"/>
  <c r="B19" i="10"/>
  <c r="B28" i="10"/>
  <c r="F38" i="10"/>
  <c r="D43" i="10"/>
  <c r="B48" i="10"/>
  <c r="F67" i="10"/>
  <c r="B88" i="10"/>
  <c r="C120" i="10"/>
  <c r="H189" i="10"/>
  <c r="N29" i="10"/>
  <c r="M29" i="10"/>
  <c r="L29" i="10"/>
  <c r="K29" i="10"/>
  <c r="J29" i="10"/>
  <c r="H29" i="10"/>
  <c r="G29" i="10"/>
  <c r="F29" i="10"/>
  <c r="E29" i="10"/>
  <c r="C29" i="10"/>
  <c r="D29" i="10"/>
  <c r="N90" i="10"/>
  <c r="M90" i="10"/>
  <c r="K90" i="10"/>
  <c r="J90" i="10"/>
  <c r="G90" i="10"/>
  <c r="F90" i="10"/>
  <c r="E90" i="10"/>
  <c r="D90" i="10"/>
  <c r="B170" i="10"/>
  <c r="D170" i="10"/>
  <c r="N170" i="10"/>
  <c r="M170" i="10"/>
  <c r="L170" i="10"/>
  <c r="K170" i="10"/>
  <c r="J170" i="10"/>
  <c r="C170" i="10"/>
  <c r="I170" i="10"/>
  <c r="H170" i="10"/>
  <c r="G170" i="10"/>
  <c r="F170" i="10"/>
  <c r="E170" i="10"/>
  <c r="H101" i="10"/>
  <c r="F101" i="10"/>
  <c r="E101" i="10"/>
  <c r="I101" i="10"/>
  <c r="N101" i="10"/>
  <c r="M101" i="10"/>
  <c r="L101" i="10"/>
  <c r="K101" i="10"/>
  <c r="J101" i="10"/>
  <c r="F36" i="10"/>
  <c r="B101" i="10"/>
  <c r="G164" i="10"/>
  <c r="B23" i="10"/>
  <c r="G36" i="10"/>
  <c r="D125" i="10"/>
  <c r="N10" i="10"/>
  <c r="K10" i="10"/>
  <c r="J10" i="10"/>
  <c r="I10" i="10"/>
  <c r="G10" i="10"/>
  <c r="F10" i="10"/>
  <c r="E10" i="10"/>
  <c r="D10" i="10"/>
  <c r="B10" i="10"/>
  <c r="C10" i="10"/>
  <c r="D112" i="10"/>
  <c r="N112" i="10"/>
  <c r="K112" i="10"/>
  <c r="J112" i="10"/>
  <c r="I112" i="10"/>
  <c r="H112" i="10"/>
  <c r="G112" i="10"/>
  <c r="F112" i="10"/>
  <c r="M112" i="10"/>
  <c r="L112" i="10"/>
  <c r="H10" i="10"/>
  <c r="E15" i="10"/>
  <c r="M23" i="10"/>
  <c r="L90" i="10"/>
  <c r="G101" i="10"/>
  <c r="G138" i="10"/>
  <c r="F15" i="10"/>
  <c r="H91" i="10"/>
  <c r="F91" i="10"/>
  <c r="B91" i="10"/>
  <c r="N91" i="10"/>
  <c r="M91" i="10"/>
  <c r="L91" i="10"/>
  <c r="K91" i="10"/>
  <c r="G91" i="10"/>
  <c r="J91" i="10"/>
  <c r="I91" i="10"/>
  <c r="M153" i="10"/>
  <c r="E158" i="10"/>
  <c r="H15" i="10"/>
  <c r="M34" i="10"/>
  <c r="N36" i="10"/>
  <c r="M52" i="10"/>
  <c r="C59" i="10"/>
  <c r="D91" i="10"/>
  <c r="J59" i="10"/>
  <c r="N78" i="10"/>
  <c r="L78" i="10"/>
  <c r="M78" i="10"/>
  <c r="J78" i="10"/>
  <c r="I78" i="10"/>
  <c r="H78" i="10"/>
  <c r="G78" i="10"/>
  <c r="K78" i="10"/>
  <c r="G122" i="10"/>
  <c r="M21" i="10"/>
  <c r="B93" i="10"/>
  <c r="N93" i="10"/>
  <c r="M93" i="10"/>
  <c r="B43" i="10"/>
  <c r="N8" i="10"/>
  <c r="F8" i="10" s="1"/>
  <c r="C19" i="10"/>
  <c r="C28" i="10"/>
  <c r="G38" i="10"/>
  <c r="E43" i="10"/>
  <c r="C48" i="10"/>
  <c r="H67" i="10"/>
  <c r="F78" i="10"/>
  <c r="I88" i="10"/>
  <c r="F93" i="10"/>
  <c r="N106" i="10"/>
  <c r="J106" i="10"/>
  <c r="H106" i="10"/>
  <c r="G106" i="10"/>
  <c r="L106" i="10"/>
  <c r="K106" i="10"/>
  <c r="E106" i="10"/>
  <c r="D106" i="10"/>
  <c r="C106" i="10"/>
  <c r="B106" i="10"/>
  <c r="D120" i="10"/>
  <c r="D6" i="10"/>
  <c r="N6" i="10"/>
  <c r="H6" i="10" s="1"/>
  <c r="K6" i="10"/>
  <c r="B6" i="10"/>
  <c r="C6" i="10"/>
  <c r="N125" i="10"/>
  <c r="H125" i="10"/>
  <c r="M125" i="10"/>
  <c r="J125" i="10"/>
  <c r="I125" i="10"/>
  <c r="G125" i="10"/>
  <c r="F125" i="10"/>
  <c r="K125" i="10"/>
  <c r="L125" i="10"/>
  <c r="B34" i="10"/>
  <c r="B15" i="10"/>
  <c r="C34" i="10"/>
  <c r="C15" i="10"/>
  <c r="J36" i="10"/>
  <c r="I90" i="10"/>
  <c r="D101" i="10"/>
  <c r="N13" i="10"/>
  <c r="M13" i="10"/>
  <c r="L13" i="10"/>
  <c r="K13" i="10"/>
  <c r="N158" i="10"/>
  <c r="H158" i="10"/>
  <c r="M158" i="10"/>
  <c r="L158" i="10"/>
  <c r="K158" i="10"/>
  <c r="J158" i="10"/>
  <c r="C158" i="10"/>
  <c r="B158" i="10"/>
  <c r="B165" i="10"/>
  <c r="B13" i="10"/>
  <c r="J153" i="10"/>
  <c r="C13" i="10"/>
  <c r="G15" i="10"/>
  <c r="C21" i="10"/>
  <c r="M36" i="10"/>
  <c r="C91" i="10"/>
  <c r="L57" i="10"/>
  <c r="K57" i="10"/>
  <c r="J57" i="10"/>
  <c r="I57" i="10"/>
  <c r="N57" i="10"/>
  <c r="M57" i="10"/>
  <c r="H57" i="10"/>
  <c r="B122" i="10"/>
  <c r="B27" i="10"/>
  <c r="M27" i="10"/>
  <c r="L27" i="10"/>
  <c r="K27" i="10"/>
  <c r="I27" i="10"/>
  <c r="D27" i="10"/>
  <c r="H27" i="10"/>
  <c r="G27" i="10"/>
  <c r="F27" i="10"/>
  <c r="E27" i="10"/>
  <c r="H59" i="10"/>
  <c r="F13" i="10"/>
  <c r="I158" i="10"/>
  <c r="F175" i="10"/>
  <c r="G13" i="10"/>
  <c r="K71" i="10"/>
  <c r="J71" i="10"/>
  <c r="G71" i="10"/>
  <c r="F71" i="10"/>
  <c r="E71" i="10"/>
  <c r="D71" i="10"/>
  <c r="L71" i="10"/>
  <c r="N71" i="10"/>
  <c r="I71" i="10"/>
  <c r="M71" i="10"/>
  <c r="I122" i="10"/>
  <c r="N189" i="10"/>
  <c r="L189" i="10"/>
  <c r="K189" i="10"/>
  <c r="J189" i="10"/>
  <c r="I189" i="10"/>
  <c r="G189" i="10"/>
  <c r="F189" i="10"/>
  <c r="E189" i="10"/>
  <c r="D189" i="10"/>
  <c r="F5" i="10"/>
  <c r="H13" i="10"/>
  <c r="B71" i="10"/>
  <c r="L98" i="10"/>
  <c r="C159" i="10"/>
  <c r="L9" i="10"/>
  <c r="H9" i="10"/>
  <c r="F9" i="10"/>
  <c r="G9" i="10"/>
  <c r="E19" i="10"/>
  <c r="H28" i="10"/>
  <c r="H38" i="10"/>
  <c r="L43" i="10"/>
  <c r="D48" i="10"/>
  <c r="J67" i="10"/>
  <c r="G93" i="10"/>
  <c r="F106" i="10"/>
  <c r="N114" i="10"/>
  <c r="K114" i="10"/>
  <c r="J114" i="10"/>
  <c r="I114" i="10"/>
  <c r="H114" i="10"/>
  <c r="E120" i="10"/>
  <c r="N133" i="10"/>
  <c r="L133" i="10"/>
  <c r="F133" i="10"/>
  <c r="K133" i="10"/>
  <c r="G133" i="10"/>
  <c r="D133" i="10"/>
  <c r="C133" i="10"/>
  <c r="M133" i="10"/>
  <c r="J133" i="10"/>
  <c r="I133" i="10"/>
  <c r="H133" i="10"/>
  <c r="D85" i="10"/>
  <c r="B85" i="10"/>
  <c r="N85" i="10"/>
  <c r="L85" i="10"/>
  <c r="K85" i="10"/>
  <c r="M85" i="10"/>
  <c r="J85" i="10"/>
  <c r="N100" i="10"/>
  <c r="L100" i="10"/>
  <c r="J100" i="10"/>
  <c r="I100" i="10"/>
  <c r="F100" i="10"/>
  <c r="E100" i="10"/>
  <c r="D100" i="10"/>
  <c r="C100" i="10"/>
  <c r="J127" i="10"/>
  <c r="H127" i="10"/>
  <c r="B127" i="10"/>
  <c r="M127" i="10"/>
  <c r="L127" i="10"/>
  <c r="K127" i="10"/>
  <c r="I127" i="10"/>
  <c r="G127" i="10"/>
  <c r="F127" i="10"/>
  <c r="H25" i="10"/>
  <c r="D25" i="10"/>
  <c r="C25" i="10"/>
  <c r="B25" i="10"/>
  <c r="N25" i="10"/>
  <c r="M25" i="10"/>
  <c r="K25" i="10"/>
  <c r="J25" i="10"/>
  <c r="I25" i="10"/>
  <c r="G25" i="10"/>
  <c r="F25" i="10"/>
  <c r="E25" i="10"/>
  <c r="J83" i="10"/>
  <c r="H83" i="10"/>
  <c r="N83" i="10"/>
  <c r="M83" i="10"/>
  <c r="L83" i="10"/>
  <c r="C85" i="10"/>
  <c r="B100" i="10"/>
  <c r="C127" i="10"/>
  <c r="L130" i="10"/>
  <c r="J130" i="10"/>
  <c r="D130" i="10"/>
  <c r="B130" i="10"/>
  <c r="E130" i="10"/>
  <c r="C130" i="10"/>
  <c r="N130" i="10"/>
  <c r="L25" i="10"/>
  <c r="H80" i="10"/>
  <c r="F80" i="10"/>
  <c r="L80" i="10"/>
  <c r="J80" i="10"/>
  <c r="K80" i="10"/>
  <c r="I80" i="10"/>
  <c r="G80" i="10"/>
  <c r="E80" i="10"/>
  <c r="B83" i="10"/>
  <c r="E85" i="10"/>
  <c r="G100" i="10"/>
  <c r="D107" i="10"/>
  <c r="B107" i="10"/>
  <c r="N107" i="10"/>
  <c r="M107" i="10"/>
  <c r="L107" i="10"/>
  <c r="K107" i="10"/>
  <c r="J107" i="10"/>
  <c r="E107" i="10"/>
  <c r="I107" i="10"/>
  <c r="H107" i="10"/>
  <c r="G107" i="10"/>
  <c r="C107" i="10"/>
  <c r="F107" i="10"/>
  <c r="D127" i="10"/>
  <c r="F130" i="10"/>
  <c r="N144" i="10"/>
  <c r="L144" i="10"/>
  <c r="F144" i="10"/>
  <c r="J144" i="10"/>
  <c r="E144" i="10"/>
  <c r="C144" i="10"/>
  <c r="B144" i="10"/>
  <c r="M144" i="10"/>
  <c r="K144" i="10"/>
  <c r="J161" i="10"/>
  <c r="B161" i="10"/>
  <c r="N161" i="10"/>
  <c r="N180" i="10"/>
  <c r="H180" i="10"/>
  <c r="K180" i="10"/>
  <c r="J180" i="10"/>
  <c r="I180" i="10"/>
  <c r="G180" i="10"/>
  <c r="F180" i="10"/>
  <c r="E180" i="10"/>
  <c r="D180" i="10"/>
  <c r="C180" i="10"/>
  <c r="J17" i="10"/>
  <c r="F17" i="10"/>
  <c r="E17" i="10"/>
  <c r="D17" i="10"/>
  <c r="N17" i="10"/>
  <c r="M17" i="10"/>
  <c r="L17" i="10"/>
  <c r="K17" i="10"/>
  <c r="L20" i="10"/>
  <c r="H20" i="10"/>
  <c r="G20" i="10"/>
  <c r="F20" i="10"/>
  <c r="D20" i="10"/>
  <c r="C20" i="10"/>
  <c r="B20" i="10"/>
  <c r="L76" i="10"/>
  <c r="K76" i="10"/>
  <c r="J76" i="10"/>
  <c r="I76" i="10"/>
  <c r="N76" i="10"/>
  <c r="E76" i="10"/>
  <c r="D76" i="10"/>
  <c r="M76" i="10"/>
  <c r="H76" i="10"/>
  <c r="G76" i="10"/>
  <c r="F76" i="10"/>
  <c r="B80" i="10"/>
  <c r="C83" i="10"/>
  <c r="F85" i="10"/>
  <c r="H100" i="10"/>
  <c r="L108" i="10"/>
  <c r="J108" i="10"/>
  <c r="K108" i="10"/>
  <c r="F108" i="10"/>
  <c r="D108" i="10"/>
  <c r="C108" i="10"/>
  <c r="N108" i="10"/>
  <c r="H108" i="10"/>
  <c r="G108" i="10"/>
  <c r="E108" i="10"/>
  <c r="B108" i="10"/>
  <c r="E127" i="10"/>
  <c r="G130" i="10"/>
  <c r="D144" i="10"/>
  <c r="C161" i="10"/>
  <c r="B180" i="10"/>
  <c r="I45" i="10"/>
  <c r="G45" i="10"/>
  <c r="N45" i="10"/>
  <c r="M45" i="10"/>
  <c r="L45" i="10"/>
  <c r="K45" i="10"/>
  <c r="B79" i="10"/>
  <c r="D79" i="10"/>
  <c r="C79" i="10"/>
  <c r="D118" i="10"/>
  <c r="B118" i="10"/>
  <c r="M118" i="10"/>
  <c r="K118" i="10"/>
  <c r="J118" i="10"/>
  <c r="N118" i="10"/>
  <c r="D184" i="10"/>
  <c r="B184" i="10"/>
  <c r="K184" i="10"/>
  <c r="G184" i="10"/>
  <c r="F184" i="10"/>
  <c r="E184" i="10"/>
  <c r="C184" i="10"/>
  <c r="B45" i="10"/>
  <c r="G64" i="10"/>
  <c r="E64" i="10"/>
  <c r="N64" i="10"/>
  <c r="K64" i="10"/>
  <c r="J64" i="10"/>
  <c r="I64" i="10"/>
  <c r="H64" i="10"/>
  <c r="E79" i="10"/>
  <c r="L86" i="10"/>
  <c r="J86" i="10"/>
  <c r="M86" i="10"/>
  <c r="K86" i="10"/>
  <c r="G86" i="10"/>
  <c r="F86" i="10"/>
  <c r="E86" i="10"/>
  <c r="D86" i="10"/>
  <c r="J94" i="10"/>
  <c r="H94" i="10"/>
  <c r="I94" i="10"/>
  <c r="F94" i="10"/>
  <c r="E94" i="10"/>
  <c r="N94" i="10"/>
  <c r="M94" i="10"/>
  <c r="G94" i="10"/>
  <c r="D94" i="10"/>
  <c r="C94" i="10"/>
  <c r="B94" i="10"/>
  <c r="F99" i="10"/>
  <c r="D99" i="10"/>
  <c r="L99" i="10"/>
  <c r="J99" i="10"/>
  <c r="I99" i="10"/>
  <c r="C118" i="10"/>
  <c r="N123" i="10"/>
  <c r="L123" i="10"/>
  <c r="K123" i="10"/>
  <c r="H123" i="10"/>
  <c r="G123" i="10"/>
  <c r="F123" i="10"/>
  <c r="E123" i="10"/>
  <c r="L142" i="10"/>
  <c r="M142" i="10"/>
  <c r="H142" i="10"/>
  <c r="F142" i="10"/>
  <c r="E142" i="10"/>
  <c r="N142" i="10"/>
  <c r="K142" i="10"/>
  <c r="J142" i="10"/>
  <c r="I142" i="10"/>
  <c r="B152" i="10"/>
  <c r="H184" i="10"/>
  <c r="F187" i="10"/>
  <c r="D187" i="10"/>
  <c r="N187" i="10"/>
  <c r="M187" i="10"/>
  <c r="L187" i="10"/>
  <c r="K187" i="10"/>
  <c r="J187" i="10"/>
  <c r="G187" i="10"/>
  <c r="E187" i="10"/>
  <c r="C187" i="10"/>
  <c r="B187" i="10"/>
  <c r="B18" i="9"/>
  <c r="B11" i="9"/>
  <c r="B15" i="9" s="1"/>
  <c r="B31" i="10"/>
  <c r="B37" i="10"/>
  <c r="B39" i="10"/>
  <c r="I49" i="10"/>
  <c r="H49" i="10"/>
  <c r="E49" i="10"/>
  <c r="D49" i="10"/>
  <c r="C49" i="10"/>
  <c r="B49" i="10"/>
  <c r="B60" i="10"/>
  <c r="C74" i="10"/>
  <c r="B131" i="10"/>
  <c r="B12" i="9"/>
  <c r="N12" i="10"/>
  <c r="J12" i="10"/>
  <c r="I12" i="10"/>
  <c r="H12" i="10"/>
  <c r="C31" i="10"/>
  <c r="C37" i="10"/>
  <c r="C39" i="10"/>
  <c r="C45" i="10"/>
  <c r="F49" i="10"/>
  <c r="C60" i="10"/>
  <c r="M62" i="10"/>
  <c r="K62" i="10"/>
  <c r="N62" i="10"/>
  <c r="L62" i="10"/>
  <c r="J62" i="10"/>
  <c r="B64" i="10"/>
  <c r="E74" i="10"/>
  <c r="F79" i="10"/>
  <c r="B86" i="10"/>
  <c r="N89" i="10"/>
  <c r="L89" i="10"/>
  <c r="F89" i="10"/>
  <c r="D89" i="10"/>
  <c r="C89" i="10"/>
  <c r="K94" i="10"/>
  <c r="B99" i="10"/>
  <c r="E118" i="10"/>
  <c r="B123" i="10"/>
  <c r="C131" i="10"/>
  <c r="B142" i="10"/>
  <c r="C152" i="10"/>
  <c r="H179" i="10"/>
  <c r="F179" i="10"/>
  <c r="D179" i="10"/>
  <c r="I184" i="10"/>
  <c r="H187" i="10"/>
  <c r="B13" i="9"/>
  <c r="B12" i="10"/>
  <c r="D31" i="10"/>
  <c r="D37" i="10"/>
  <c r="H39" i="10"/>
  <c r="D45" i="10"/>
  <c r="G49" i="10"/>
  <c r="D60" i="10"/>
  <c r="B62" i="10"/>
  <c r="C64" i="10"/>
  <c r="J72" i="10"/>
  <c r="E72" i="10"/>
  <c r="C72" i="10"/>
  <c r="F74" i="10"/>
  <c r="G79" i="10"/>
  <c r="C86" i="10"/>
  <c r="B89" i="10"/>
  <c r="L94" i="10"/>
  <c r="C99" i="10"/>
  <c r="F110" i="10"/>
  <c r="D110" i="10"/>
  <c r="H110" i="10"/>
  <c r="B110" i="10"/>
  <c r="N110" i="10"/>
  <c r="K110" i="10"/>
  <c r="J110" i="10"/>
  <c r="I110" i="10"/>
  <c r="G110" i="10"/>
  <c r="F118" i="10"/>
  <c r="C123" i="10"/>
  <c r="D131" i="10"/>
  <c r="N134" i="10"/>
  <c r="I134" i="10"/>
  <c r="H134" i="10"/>
  <c r="E134" i="10"/>
  <c r="D134" i="10"/>
  <c r="C134" i="10"/>
  <c r="B134" i="10"/>
  <c r="B137" i="10"/>
  <c r="G137" i="10"/>
  <c r="C137" i="10"/>
  <c r="C142" i="10"/>
  <c r="E152" i="10"/>
  <c r="B179" i="10"/>
  <c r="J184" i="10"/>
  <c r="I187" i="10"/>
  <c r="B14" i="9"/>
  <c r="H14" i="10"/>
  <c r="D14" i="10"/>
  <c r="C14" i="10"/>
  <c r="B14" i="10"/>
  <c r="N18" i="10"/>
  <c r="M18" i="10"/>
  <c r="L18" i="10"/>
  <c r="E45" i="10"/>
  <c r="J49" i="10"/>
  <c r="E60" i="10"/>
  <c r="D64" i="10"/>
  <c r="H79" i="10"/>
  <c r="H86" i="10"/>
  <c r="E99" i="10"/>
  <c r="G118" i="10"/>
  <c r="D123" i="10"/>
  <c r="D142" i="10"/>
  <c r="L184" i="10"/>
  <c r="J193" i="10"/>
  <c r="H193" i="10"/>
  <c r="B193" i="10"/>
  <c r="M193" i="10"/>
  <c r="G193" i="10"/>
  <c r="F193" i="10"/>
  <c r="E193" i="10"/>
  <c r="D193" i="10"/>
  <c r="I203" i="10"/>
  <c r="G203" i="10"/>
  <c r="E203" i="10"/>
  <c r="C203" i="10"/>
  <c r="B203" i="10"/>
  <c r="N203" i="10"/>
  <c r="M203" i="10"/>
  <c r="L203" i="10"/>
  <c r="K203" i="10"/>
  <c r="J203" i="10"/>
  <c r="H203" i="10"/>
  <c r="F203" i="10"/>
  <c r="D74" i="10"/>
  <c r="N74" i="10"/>
  <c r="M74" i="10"/>
  <c r="L74" i="10"/>
  <c r="L31" i="10"/>
  <c r="I31" i="10"/>
  <c r="H31" i="10"/>
  <c r="G31" i="10"/>
  <c r="F31" i="10"/>
  <c r="M37" i="10"/>
  <c r="L37" i="10"/>
  <c r="K37" i="10"/>
  <c r="J37" i="10"/>
  <c r="K39" i="10"/>
  <c r="J39" i="10"/>
  <c r="G39" i="10"/>
  <c r="F39" i="10"/>
  <c r="E39" i="10"/>
  <c r="D39" i="10"/>
  <c r="B74" i="10"/>
  <c r="L131" i="10"/>
  <c r="N131" i="10"/>
  <c r="I131" i="10"/>
  <c r="G131" i="10"/>
  <c r="F131" i="10"/>
  <c r="M131" i="10"/>
  <c r="K131" i="10"/>
  <c r="L152" i="10"/>
  <c r="J152" i="10"/>
  <c r="D152" i="10"/>
  <c r="D12" i="10"/>
  <c r="E14" i="10"/>
  <c r="D16" i="10"/>
  <c r="B18" i="10"/>
  <c r="J31" i="10"/>
  <c r="F37" i="10"/>
  <c r="L39" i="10"/>
  <c r="F45" i="10"/>
  <c r="K49" i="10"/>
  <c r="M54" i="10"/>
  <c r="K54" i="10"/>
  <c r="J54" i="10"/>
  <c r="G54" i="10"/>
  <c r="F54" i="10"/>
  <c r="E54" i="10"/>
  <c r="D54" i="10"/>
  <c r="F60" i="10"/>
  <c r="D62" i="10"/>
  <c r="F64" i="10"/>
  <c r="D72" i="10"/>
  <c r="H74" i="10"/>
  <c r="I79" i="10"/>
  <c r="I86" i="10"/>
  <c r="G89" i="10"/>
  <c r="B95" i="10"/>
  <c r="G99" i="10"/>
  <c r="H102" i="10"/>
  <c r="F102" i="10"/>
  <c r="K102" i="10"/>
  <c r="J102" i="10"/>
  <c r="E102" i="10"/>
  <c r="D102" i="10"/>
  <c r="C102" i="10"/>
  <c r="B102" i="10"/>
  <c r="J105" i="10"/>
  <c r="H105" i="10"/>
  <c r="D105" i="10"/>
  <c r="E110" i="10"/>
  <c r="H118" i="10"/>
  <c r="I123" i="10"/>
  <c r="H131" i="10"/>
  <c r="G134" i="10"/>
  <c r="E137" i="10"/>
  <c r="G142" i="10"/>
  <c r="J150" i="10"/>
  <c r="C150" i="10"/>
  <c r="N150" i="10"/>
  <c r="G152" i="10"/>
  <c r="E179" i="10"/>
  <c r="M184" i="10"/>
  <c r="C193" i="10"/>
  <c r="D203" i="10"/>
  <c r="N92" i="10"/>
  <c r="L92" i="10"/>
  <c r="J92" i="10"/>
  <c r="I92" i="10"/>
  <c r="M92" i="10"/>
  <c r="K92" i="10"/>
  <c r="F92" i="10"/>
  <c r="E92" i="10"/>
  <c r="D92" i="10"/>
  <c r="C92" i="10"/>
  <c r="L97" i="10"/>
  <c r="J97" i="10"/>
  <c r="N97" i="10"/>
  <c r="M97" i="10"/>
  <c r="J116" i="10"/>
  <c r="H116" i="10"/>
  <c r="N116" i="10"/>
  <c r="M116" i="10"/>
  <c r="L116" i="10"/>
  <c r="K116" i="10"/>
  <c r="I116" i="10"/>
  <c r="F143" i="10"/>
  <c r="D143" i="10"/>
  <c r="E143" i="10"/>
  <c r="C143" i="10"/>
  <c r="D173" i="10"/>
  <c r="B173" i="10"/>
  <c r="L173" i="10"/>
  <c r="H173" i="10"/>
  <c r="G173" i="10"/>
  <c r="F173" i="10"/>
  <c r="E173" i="10"/>
  <c r="K173" i="10"/>
  <c r="J173" i="10"/>
  <c r="I173" i="10"/>
  <c r="C173" i="10"/>
  <c r="J182" i="10"/>
  <c r="H182" i="10"/>
  <c r="B182" i="10"/>
  <c r="N182" i="10"/>
  <c r="I182" i="10"/>
  <c r="G182" i="10"/>
  <c r="F182" i="10"/>
  <c r="E182" i="10"/>
  <c r="M182" i="10"/>
  <c r="L182" i="10"/>
  <c r="M31" i="10"/>
  <c r="H37" i="10"/>
  <c r="N39" i="10"/>
  <c r="J45" i="10"/>
  <c r="H60" i="10"/>
  <c r="J74" i="10"/>
  <c r="K79" i="10"/>
  <c r="B82" i="10"/>
  <c r="H82" i="10"/>
  <c r="F82" i="10"/>
  <c r="N82" i="10"/>
  <c r="M82" i="10"/>
  <c r="J82" i="10"/>
  <c r="I82" i="10"/>
  <c r="G82" i="10"/>
  <c r="E82" i="10"/>
  <c r="J87" i="10"/>
  <c r="H87" i="10"/>
  <c r="G87" i="10"/>
  <c r="B92" i="10"/>
  <c r="B97" i="10"/>
  <c r="B116" i="10"/>
  <c r="L118" i="10"/>
  <c r="D140" i="10"/>
  <c r="B140" i="10"/>
  <c r="K140" i="10"/>
  <c r="I140" i="10"/>
  <c r="H140" i="10"/>
  <c r="L140" i="10"/>
  <c r="J140" i="10"/>
  <c r="G140" i="10"/>
  <c r="F140" i="10"/>
  <c r="B143" i="10"/>
  <c r="I152" i="10"/>
  <c r="M173" i="10"/>
  <c r="C182" i="10"/>
  <c r="N40" i="10"/>
  <c r="M40" i="10"/>
  <c r="L40" i="10"/>
  <c r="G92" i="10"/>
  <c r="N173" i="10"/>
  <c r="N191" i="10"/>
  <c r="H191" i="10"/>
  <c r="J191" i="10"/>
  <c r="I191" i="10"/>
  <c r="G191" i="10"/>
  <c r="F191" i="10"/>
  <c r="M191" i="10"/>
  <c r="L191" i="10"/>
  <c r="K191" i="10"/>
  <c r="B5" i="10"/>
  <c r="B24" i="10"/>
  <c r="N31" i="10"/>
  <c r="I37" i="10"/>
  <c r="D46" i="10"/>
  <c r="C46" i="10"/>
  <c r="I60" i="10"/>
  <c r="K74" i="10"/>
  <c r="L79" i="10"/>
  <c r="C82" i="10"/>
  <c r="B87" i="10"/>
  <c r="C97" i="10"/>
  <c r="C116" i="10"/>
  <c r="H124" i="10"/>
  <c r="F124" i="10"/>
  <c r="K124" i="10"/>
  <c r="E124" i="10"/>
  <c r="C124" i="10"/>
  <c r="B124" i="10"/>
  <c r="C140" i="10"/>
  <c r="G143" i="10"/>
  <c r="K152" i="10"/>
  <c r="D182" i="10"/>
  <c r="C5" i="10"/>
  <c r="N7" i="10"/>
  <c r="K12" i="10"/>
  <c r="J14" i="10"/>
  <c r="H16" i="10"/>
  <c r="F18" i="10"/>
  <c r="L26" i="10"/>
  <c r="K26" i="10"/>
  <c r="J26" i="10"/>
  <c r="N37" i="10"/>
  <c r="B40" i="10"/>
  <c r="M42" i="10"/>
  <c r="L42" i="10"/>
  <c r="I42" i="10"/>
  <c r="H42" i="10"/>
  <c r="G42" i="10"/>
  <c r="F42" i="10"/>
  <c r="B46" i="10"/>
  <c r="E50" i="10"/>
  <c r="C50" i="10"/>
  <c r="N50" i="10"/>
  <c r="M50" i="10"/>
  <c r="L50" i="10"/>
  <c r="I54" i="10"/>
  <c r="J60" i="10"/>
  <c r="H62" i="10"/>
  <c r="I72" i="10"/>
  <c r="M79" i="10"/>
  <c r="D82" i="10"/>
  <c r="C87" i="10"/>
  <c r="K89" i="10"/>
  <c r="H92" i="10"/>
  <c r="D97" i="10"/>
  <c r="N99" i="10"/>
  <c r="M102" i="10"/>
  <c r="F105" i="10"/>
  <c r="D116" i="10"/>
  <c r="D124" i="10"/>
  <c r="D129" i="10"/>
  <c r="B129" i="10"/>
  <c r="L129" i="10"/>
  <c r="J129" i="10"/>
  <c r="I129" i="10"/>
  <c r="M129" i="10"/>
  <c r="K129" i="10"/>
  <c r="H129" i="10"/>
  <c r="G129" i="10"/>
  <c r="M134" i="10"/>
  <c r="J137" i="10"/>
  <c r="E140" i="10"/>
  <c r="H143" i="10"/>
  <c r="F150" i="10"/>
  <c r="M152" i="10"/>
  <c r="K179" i="10"/>
  <c r="K182" i="10"/>
  <c r="B191" i="10"/>
  <c r="N193" i="10"/>
  <c r="N73" i="10"/>
  <c r="L73" i="10"/>
  <c r="B104" i="10"/>
  <c r="N104" i="10"/>
  <c r="L104" i="10"/>
  <c r="K104" i="10"/>
  <c r="N136" i="10"/>
  <c r="H136" i="10"/>
  <c r="M136" i="10"/>
  <c r="L136" i="10"/>
  <c r="D162" i="10"/>
  <c r="B162" i="10"/>
  <c r="M162" i="10"/>
  <c r="I162" i="10"/>
  <c r="H162" i="10"/>
  <c r="G162" i="10"/>
  <c r="F162" i="10"/>
  <c r="N178" i="10"/>
  <c r="M178" i="10"/>
  <c r="L178" i="10"/>
  <c r="K178" i="10"/>
  <c r="J178" i="10"/>
  <c r="L185" i="10"/>
  <c r="J185" i="10"/>
  <c r="D185" i="10"/>
  <c r="E61" i="10"/>
  <c r="C61" i="10"/>
  <c r="B73" i="10"/>
  <c r="C104" i="10"/>
  <c r="L119" i="10"/>
  <c r="J119" i="10"/>
  <c r="D119" i="10"/>
  <c r="C119" i="10"/>
  <c r="B136" i="10"/>
  <c r="N145" i="10"/>
  <c r="M145" i="10"/>
  <c r="D151" i="10"/>
  <c r="B151" i="10"/>
  <c r="N151" i="10"/>
  <c r="J151" i="10"/>
  <c r="H151" i="10"/>
  <c r="G151" i="10"/>
  <c r="C162" i="10"/>
  <c r="J171" i="10"/>
  <c r="H171" i="10"/>
  <c r="B171" i="10"/>
  <c r="K171" i="10"/>
  <c r="I171" i="10"/>
  <c r="G171" i="10"/>
  <c r="F171" i="10"/>
  <c r="B178" i="10"/>
  <c r="B185" i="10"/>
  <c r="B11" i="10"/>
  <c r="B22" i="10"/>
  <c r="I56" i="10"/>
  <c r="G56" i="10"/>
  <c r="B61" i="10"/>
  <c r="C73" i="10"/>
  <c r="D104" i="10"/>
  <c r="B119" i="10"/>
  <c r="F132" i="10"/>
  <c r="D132" i="10"/>
  <c r="C136" i="10"/>
  <c r="B145" i="10"/>
  <c r="N147" i="10"/>
  <c r="H147" i="10"/>
  <c r="L147" i="10"/>
  <c r="K147" i="10"/>
  <c r="C151" i="10"/>
  <c r="E162" i="10"/>
  <c r="C178" i="10"/>
  <c r="C185" i="10"/>
  <c r="L196" i="10"/>
  <c r="J196" i="10"/>
  <c r="I196" i="10"/>
  <c r="D196" i="10"/>
  <c r="K198" i="10"/>
  <c r="I198" i="10"/>
  <c r="F198" i="10"/>
  <c r="D198" i="10"/>
  <c r="C198" i="10"/>
  <c r="M51" i="10"/>
  <c r="K51" i="10"/>
  <c r="D73" i="10"/>
  <c r="L75" i="10"/>
  <c r="I75" i="10"/>
  <c r="G75" i="10"/>
  <c r="E104" i="10"/>
  <c r="J117" i="10"/>
  <c r="F117" i="10"/>
  <c r="B117" i="10"/>
  <c r="D136" i="10"/>
  <c r="J149" i="10"/>
  <c r="H149" i="10"/>
  <c r="B149" i="10"/>
  <c r="M149" i="10"/>
  <c r="K149" i="10"/>
  <c r="I149" i="10"/>
  <c r="J160" i="10"/>
  <c r="H160" i="10"/>
  <c r="B160" i="10"/>
  <c r="L160" i="10"/>
  <c r="K160" i="10"/>
  <c r="I160" i="10"/>
  <c r="G160" i="10"/>
  <c r="J162" i="10"/>
  <c r="N167" i="10"/>
  <c r="M167" i="10"/>
  <c r="L167" i="10"/>
  <c r="K167" i="10"/>
  <c r="N169" i="10"/>
  <c r="H169" i="10"/>
  <c r="L169" i="10"/>
  <c r="K169" i="10"/>
  <c r="J169" i="10"/>
  <c r="I169" i="10"/>
  <c r="F176" i="10"/>
  <c r="D176" i="10"/>
  <c r="N176" i="10"/>
  <c r="M176" i="10"/>
  <c r="D178" i="10"/>
  <c r="E185" i="10"/>
  <c r="M201" i="10"/>
  <c r="K201" i="10"/>
  <c r="I201" i="10"/>
  <c r="H201" i="10"/>
  <c r="F201" i="10"/>
  <c r="E201" i="10"/>
  <c r="L201" i="10"/>
  <c r="J201" i="10"/>
  <c r="G201" i="10"/>
  <c r="D201" i="10"/>
  <c r="D41" i="10"/>
  <c r="D51" i="10"/>
  <c r="D63" i="10"/>
  <c r="G73" i="10"/>
  <c r="D75" i="10"/>
  <c r="F77" i="10"/>
  <c r="D77" i="10"/>
  <c r="E77" i="10"/>
  <c r="B77" i="10"/>
  <c r="H104" i="10"/>
  <c r="B115" i="10"/>
  <c r="J115" i="10"/>
  <c r="F115" i="10"/>
  <c r="D115" i="10"/>
  <c r="C115" i="10"/>
  <c r="E117" i="10"/>
  <c r="G136" i="10"/>
  <c r="E149" i="10"/>
  <c r="N156" i="10"/>
  <c r="M156" i="10"/>
  <c r="L156" i="10"/>
  <c r="E160" i="10"/>
  <c r="N162" i="10"/>
  <c r="D167" i="10"/>
  <c r="L174" i="10"/>
  <c r="J174" i="10"/>
  <c r="D174" i="10"/>
  <c r="G178" i="10"/>
  <c r="B181" i="10"/>
  <c r="C181" i="10"/>
  <c r="H185" i="10"/>
  <c r="H190" i="10"/>
  <c r="F190" i="10"/>
  <c r="C190" i="10"/>
  <c r="B201" i="10"/>
  <c r="E51" i="10"/>
  <c r="G53" i="10"/>
  <c r="E53" i="10"/>
  <c r="F56" i="10"/>
  <c r="K70" i="10"/>
  <c r="I70" i="10"/>
  <c r="H73" i="10"/>
  <c r="E75" i="10"/>
  <c r="C77" i="10"/>
  <c r="B81" i="10"/>
  <c r="I104" i="10"/>
  <c r="N109" i="10"/>
  <c r="M109" i="10"/>
  <c r="N111" i="10"/>
  <c r="L111" i="10"/>
  <c r="M111" i="10"/>
  <c r="J111" i="10"/>
  <c r="I111" i="10"/>
  <c r="H113" i="10"/>
  <c r="F113" i="10"/>
  <c r="N113" i="10"/>
  <c r="J113" i="10"/>
  <c r="G113" i="10"/>
  <c r="E113" i="10"/>
  <c r="E115" i="10"/>
  <c r="G117" i="10"/>
  <c r="I119" i="10"/>
  <c r="H132" i="10"/>
  <c r="I136" i="10"/>
  <c r="J139" i="10"/>
  <c r="D139" i="10"/>
  <c r="G145" i="10"/>
  <c r="F147" i="10"/>
  <c r="F149" i="10"/>
  <c r="L151" i="10"/>
  <c r="F154" i="10"/>
  <c r="D154" i="10"/>
  <c r="B156" i="10"/>
  <c r="F160" i="10"/>
  <c r="L163" i="10"/>
  <c r="J163" i="10"/>
  <c r="D163" i="10"/>
  <c r="E167" i="10"/>
  <c r="E169" i="10"/>
  <c r="N171" i="10"/>
  <c r="B174" i="10"/>
  <c r="G176" i="10"/>
  <c r="H178" i="10"/>
  <c r="D181" i="10"/>
  <c r="F183" i="10"/>
  <c r="I185" i="10"/>
  <c r="B190" i="10"/>
  <c r="G196" i="10"/>
  <c r="J198" i="10"/>
  <c r="C201" i="10"/>
  <c r="D96" i="10"/>
  <c r="B96" i="10"/>
  <c r="H135" i="10"/>
  <c r="F135" i="10"/>
  <c r="N155" i="10"/>
  <c r="L155" i="10"/>
  <c r="F155" i="10"/>
  <c r="B84" i="10"/>
  <c r="C96" i="10"/>
  <c r="B103" i="10"/>
  <c r="B135" i="10"/>
  <c r="H146" i="10"/>
  <c r="F146" i="10"/>
  <c r="B155" i="10"/>
  <c r="N166" i="10"/>
  <c r="L166" i="10"/>
  <c r="F166" i="10"/>
  <c r="B186" i="10"/>
  <c r="H157" i="10"/>
  <c r="F157" i="10"/>
  <c r="N177" i="10"/>
  <c r="L177" i="10"/>
  <c r="F177" i="10"/>
  <c r="C186" i="10"/>
  <c r="F96" i="10"/>
  <c r="D103" i="10"/>
  <c r="D126" i="10"/>
  <c r="D135" i="10"/>
  <c r="C146" i="10"/>
  <c r="D155" i="10"/>
  <c r="B157" i="10"/>
  <c r="C166" i="10"/>
  <c r="H168" i="10"/>
  <c r="F168" i="10"/>
  <c r="B177" i="10"/>
  <c r="D186" i="10"/>
  <c r="N188" i="10"/>
  <c r="L188" i="10"/>
  <c r="F188" i="10"/>
  <c r="N204" i="10"/>
  <c r="M204" i="10"/>
  <c r="L204" i="10"/>
  <c r="K204" i="10"/>
  <c r="J204" i="10"/>
  <c r="I204" i="10"/>
  <c r="H204" i="10"/>
  <c r="G204" i="10"/>
  <c r="C204" i="10"/>
  <c r="B204" i="10"/>
  <c r="F121" i="10"/>
  <c r="D121" i="10"/>
  <c r="L141" i="10"/>
  <c r="J141" i="10"/>
  <c r="D141" i="10"/>
  <c r="G157" i="10"/>
  <c r="G177" i="10"/>
  <c r="L197" i="10"/>
  <c r="N200" i="10"/>
  <c r="H202" i="10"/>
  <c r="M202" i="10"/>
  <c r="B195" i="10"/>
  <c r="D195" i="10"/>
  <c r="C200" i="10"/>
  <c r="H8" i="10" l="1"/>
  <c r="I8" i="10" s="1"/>
  <c r="F6" i="10"/>
  <c r="F206" i="10" s="1"/>
  <c r="K8" i="10"/>
  <c r="J8" i="10"/>
  <c r="B17" i="9"/>
  <c r="B19" i="9" s="1"/>
  <c r="B21" i="9" s="1"/>
  <c r="I5" i="10"/>
  <c r="G8" i="10"/>
  <c r="K7" i="10"/>
  <c r="K206" i="10" s="1"/>
  <c r="H7" i="10"/>
  <c r="H206" i="10" s="1"/>
  <c r="F7" i="10"/>
  <c r="G7" i="10"/>
  <c r="E7" i="10"/>
  <c r="E6" i="10"/>
  <c r="G6" i="10"/>
  <c r="J5" i="10"/>
  <c r="G206" i="10" l="1"/>
  <c r="L8" i="10"/>
  <c r="I6" i="10"/>
  <c r="J6" i="10" s="1"/>
  <c r="L6" i="10" s="1"/>
  <c r="M6" i="10" s="1"/>
  <c r="M8" i="10"/>
  <c r="I7" i="10"/>
  <c r="J7" i="10"/>
  <c r="L7" i="10" s="1"/>
  <c r="E206" i="10"/>
  <c r="L5" i="10"/>
  <c r="I206" i="10" l="1"/>
  <c r="L206" i="10"/>
  <c r="J206" i="10"/>
  <c r="M5" i="10"/>
  <c r="M7" i="10"/>
  <c r="M206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Escribe el periodo con formato YYYY-MM. Ejemplo: 2026-03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Si tipo = PORCENTAJE, escribe un decimal. Ejemplo: 0.10 = 10%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Si dejas 0, el sueldo se toma del puesto. Si escribes un monto, reemplaza el sueldo del puesto.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Usa el mismo periodo que en Configuracion!B2. Ejemplo: 2026-03</t>
        </r>
      </text>
    </comment>
  </commentList>
</comments>
</file>

<file path=xl/sharedStrings.xml><?xml version="1.0" encoding="utf-8"?>
<sst xmlns="http://schemas.openxmlformats.org/spreadsheetml/2006/main" count="1348" uniqueCount="231">
  <si>
    <t>username</t>
  </si>
  <si>
    <t>password_hash</t>
  </si>
  <si>
    <t>role</t>
  </si>
  <si>
    <t>admin</t>
  </si>
  <si>
    <t>$2a$10$0HDQKmHtj8WhnfN.0M/ADOe1ieBaeQfSWAAFbFaAtiYCCFGZRKEdS</t>
  </si>
  <si>
    <t>ADMIN</t>
  </si>
  <si>
    <t>colonia</t>
  </si>
  <si>
    <t>municipio</t>
  </si>
  <si>
    <t>estado</t>
  </si>
  <si>
    <t>telefono</t>
  </si>
  <si>
    <t>email</t>
  </si>
  <si>
    <t/>
  </si>
  <si>
    <t>curp</t>
  </si>
  <si>
    <t>rfc</t>
  </si>
  <si>
    <t>apellido_p</t>
  </si>
  <si>
    <t>apellido_m</t>
  </si>
  <si>
    <t>genero</t>
  </si>
  <si>
    <t>fecha_nacimiento</t>
  </si>
  <si>
    <t>calle</t>
  </si>
  <si>
    <t>numero</t>
  </si>
  <si>
    <t>colonia</t>
  </si>
  <si>
    <t>municipio</t>
  </si>
  <si>
    <t>estado</t>
  </si>
  <si>
    <t>telefono</t>
  </si>
  <si>
    <t>email</t>
  </si>
  <si>
    <t/>
  </si>
  <si>
    <t>E004</t>
  </si>
  <si>
    <t>Carlos</t>
  </si>
  <si>
    <t>Diaz</t>
  </si>
  <si>
    <t>P001</t>
  </si>
  <si>
    <t>2021-03-01</t>
  </si>
  <si>
    <t>INACTIVO</t>
  </si>
  <si>
    <t>0123456792</t>
  </si>
  <si>
    <t>carlos@empresa.com</t>
  </si>
  <si>
    <t>masculino</t>
  </si>
  <si>
    <t>31/04/08</t>
  </si>
  <si>
    <t>privada</t>
  </si>
  <si>
    <t>25</t>
  </si>
  <si>
    <t>san javier</t>
  </si>
  <si>
    <t>xoxocotlan</t>
  </si>
  <si>
    <t>soltero</t>
  </si>
  <si>
    <t>951266644</t>
  </si>
  <si>
    <t>carlos@gmail.com</t>
  </si>
  <si>
    <t>Base de datos de nomina para Java</t>
  </si>
  <si>
    <t>Este archivo .xlsx funciona como catalogo y plantilla de calculo.</t>
  </si>
  <si>
    <t>Puedes usarlo como base de datos para tu programa en Java y tambien como hoja de prueba para calcular la nomina.</t>
  </si>
  <si>
    <t>Flujo recomendado</t>
  </si>
  <si>
    <t>1) Captura o importa puestos, plazas, empleados, conceptos y deducciones en sus hojas.</t>
  </si>
  <si>
    <t>2) Registra incidencias del periodo en la hoja Movimientos.</t>
  </si>
  <si>
    <t>3) Define el periodo a calcular en Configuracion!B2 con formato YYYY-MM.</t>
  </si>
  <si>
    <t>4) Revisa Calculo_Individual para un empleado o Nomina_General para todos.</t>
  </si>
  <si>
    <t>5) Si tu programa Java lee este archivo, usa los encabezados de la fila 1 como nombres de campo estables.</t>
  </si>
  <si>
    <t>Hojas incluidas</t>
  </si>
  <si>
    <t>hoja</t>
  </si>
  <si>
    <t>uso_principal</t>
  </si>
  <si>
    <t>editable</t>
  </si>
  <si>
    <t>comentario</t>
  </si>
  <si>
    <t>Configuracion</t>
  </si>
  <si>
    <t>Periodo activo y parametros generales</t>
  </si>
  <si>
    <t>SI</t>
  </si>
  <si>
    <t>B2 controla el periodo del calculo</t>
  </si>
  <si>
    <t>Puestos</t>
  </si>
  <si>
    <t>Catalogo de puestos y sueldos base</t>
  </si>
  <si>
    <t>El sueldo cambia segun el puesto</t>
  </si>
  <si>
    <t>Plazas</t>
  </si>
  <si>
    <t>Catalogo de plazas/departamentos</t>
  </si>
  <si>
    <t>Sirve para clasificar al personal</t>
  </si>
  <si>
    <t>Conceptos_Pago</t>
  </si>
  <si>
    <t>Catalogo de percepciones</t>
  </si>
  <si>
    <t>Incluye fijos y variables</t>
  </si>
  <si>
    <t>Deducciones</t>
  </si>
  <si>
    <t>Catalogo de deducciones</t>
  </si>
  <si>
    <t>Acepta montos fijos o porcentajes</t>
  </si>
  <si>
    <t>Empleados</t>
  </si>
  <si>
    <t>Catalogo de empleados</t>
  </si>
  <si>
    <t>Incluye formulas auxiliares</t>
  </si>
  <si>
    <t>Movimientos</t>
  </si>
  <si>
    <t>Incidencias por periodo</t>
  </si>
  <si>
    <t>Aqui van bonos, horas extra y descuentos</t>
  </si>
  <si>
    <t>Calculo_Individual</t>
  </si>
  <si>
    <t>Nomina de un empleado</t>
  </si>
  <si>
    <t>Selecciona empleado y periodo</t>
  </si>
  <si>
    <t>Nomina_General</t>
  </si>
  <si>
    <t>Nomina de todos</t>
  </si>
  <si>
    <t>Calcula a todos al mismo tiempo</t>
  </si>
  <si>
    <t>parametro</t>
  </si>
  <si>
    <t>valor</t>
  </si>
  <si>
    <t>periodo_nomina</t>
  </si>
  <si>
    <t>2026-03</t>
  </si>
  <si>
    <t>Periodo base para Calculo_Individual y Nomina_General. Formato YYYY-MM</t>
  </si>
  <si>
    <t>moneda</t>
  </si>
  <si>
    <t>MXN</t>
  </si>
  <si>
    <t>Moneda de trabajo</t>
  </si>
  <si>
    <t>version_plantilla</t>
  </si>
  <si>
    <t>1.0</t>
  </si>
  <si>
    <t>Control de version de la estructura</t>
  </si>
  <si>
    <t>max_empleados_calculo</t>
  </si>
  <si>
    <t>Filas precargadas en Nomina_General</t>
  </si>
  <si>
    <t>id_puesto</t>
  </si>
  <si>
    <t>puesto</t>
  </si>
  <si>
    <t>sueldo_base_mensual</t>
  </si>
  <si>
    <t>bono_fijo_mensual</t>
  </si>
  <si>
    <t>pago_hora_extra</t>
  </si>
  <si>
    <t>activo</t>
  </si>
  <si>
    <t>Auxiliar Administrativo</t>
  </si>
  <si>
    <t>P002</t>
  </si>
  <si>
    <t>Analista</t>
  </si>
  <si>
    <t>P003</t>
  </si>
  <si>
    <t>Supervisor</t>
  </si>
  <si>
    <t>P004</t>
  </si>
  <si>
    <t>Gerente</t>
  </si>
  <si>
    <t>id_plaza</t>
  </si>
  <si>
    <t>plaza</t>
  </si>
  <si>
    <t>departamento</t>
  </si>
  <si>
    <t>tipo_plaza</t>
  </si>
  <si>
    <t>centro_costos</t>
  </si>
  <si>
    <t>horas_semana</t>
  </si>
  <si>
    <t>PL001</t>
  </si>
  <si>
    <t>Administracion General</t>
  </si>
  <si>
    <t>Administracion</t>
  </si>
  <si>
    <t>Base</t>
  </si>
  <si>
    <t>CC-100</t>
  </si>
  <si>
    <t>PL002</t>
  </si>
  <si>
    <t>Analisis de Datos</t>
  </si>
  <si>
    <t>Tecnologia</t>
  </si>
  <si>
    <t>CC-200</t>
  </si>
  <si>
    <t>PL003</t>
  </si>
  <si>
    <t>Operacion Campo</t>
  </si>
  <si>
    <t>Operaciones</t>
  </si>
  <si>
    <t>Operativa</t>
  </si>
  <si>
    <t>CC-300</t>
  </si>
  <si>
    <t>PL004</t>
  </si>
  <si>
    <t>Direccion</t>
  </si>
  <si>
    <t>Confianza</t>
  </si>
  <si>
    <t>CC-400</t>
  </si>
  <si>
    <t>id_concepto_pago</t>
  </si>
  <si>
    <t>descripcion</t>
  </si>
  <si>
    <t>tipo</t>
  </si>
  <si>
    <t>aplica_a_todos</t>
  </si>
  <si>
    <t>monto_default</t>
  </si>
  <si>
    <t>gravable</t>
  </si>
  <si>
    <t>CP001</t>
  </si>
  <si>
    <t>Vale de despensa</t>
  </si>
  <si>
    <t>FIJO</t>
  </si>
  <si>
    <t>NO</t>
  </si>
  <si>
    <t>CP002</t>
  </si>
  <si>
    <t>Bono de transporte</t>
  </si>
  <si>
    <t>CP003</t>
  </si>
  <si>
    <t>Bono por productividad</t>
  </si>
  <si>
    <t>VARIABLE</t>
  </si>
  <si>
    <t>CP004</t>
  </si>
  <si>
    <t>Horas extra</t>
  </si>
  <si>
    <t>id_deduccion</t>
  </si>
  <si>
    <t>base</t>
  </si>
  <si>
    <t>D001</t>
  </si>
  <si>
    <t>ISR general</t>
  </si>
  <si>
    <t>PORCENTAJE</t>
  </si>
  <si>
    <t>TOTAL_PERCEPCIONES</t>
  </si>
  <si>
    <t>D002</t>
  </si>
  <si>
    <t>IMSS aproximado</t>
  </si>
  <si>
    <t>SUELDO_BASE</t>
  </si>
  <si>
    <t>D003</t>
  </si>
  <si>
    <t>Prestamo empresa</t>
  </si>
  <si>
    <t>id_empleado</t>
  </si>
  <si>
    <t>nombres</t>
  </si>
  <si>
    <t>apellido_paterno</t>
  </si>
  <si>
    <t>apellido_materno</t>
  </si>
  <si>
    <t>nombre_completo</t>
  </si>
  <si>
    <t>sueldo_mensual_override</t>
  </si>
  <si>
    <t>fecha_ingreso</t>
  </si>
  <si>
    <t>estatus</t>
  </si>
  <si>
    <t>cuenta_bancaria</t>
  </si>
  <si>
    <t>sueldo_base_calc</t>
  </si>
  <si>
    <t>bono_puesto_calc</t>
  </si>
  <si>
    <t>puesto_desc</t>
  </si>
  <si>
    <t>plaza_desc</t>
  </si>
  <si>
    <t>E001</t>
  </si>
  <si>
    <t>Ana</t>
  </si>
  <si>
    <t>Lopez</t>
  </si>
  <si>
    <t>Ramirez</t>
  </si>
  <si>
    <t>2024-01-15</t>
  </si>
  <si>
    <t>ACTIVO</t>
  </si>
  <si>
    <t>0123456789</t>
  </si>
  <si>
    <t>ana@empresa.com</t>
  </si>
  <si>
    <t>E002</t>
  </si>
  <si>
    <t>Luis</t>
  </si>
  <si>
    <t>Martinez</t>
  </si>
  <si>
    <t>Gomez</t>
  </si>
  <si>
    <t>2023-07-10</t>
  </si>
  <si>
    <t>0123456790</t>
  </si>
  <si>
    <t>luis@empresa.com</t>
  </si>
  <si>
    <t>E003</t>
  </si>
  <si>
    <t>Sofia</t>
  </si>
  <si>
    <t>Hernandez</t>
  </si>
  <si>
    <t>Perez</t>
  </si>
  <si>
    <t>2022-11-05</t>
  </si>
  <si>
    <t>0123456791</t>
  </si>
  <si>
    <t>sofia@empresa.com</t>
  </si>
  <si>
    <t>periodo</t>
  </si>
  <si>
    <t>tipo_movimiento</t>
  </si>
  <si>
    <t>clave</t>
  </si>
  <si>
    <t>monto</t>
  </si>
  <si>
    <t>observaciones</t>
  </si>
  <si>
    <t>PAGO</t>
  </si>
  <si>
    <t>8 horas</t>
  </si>
  <si>
    <t>Meta cumplida</t>
  </si>
  <si>
    <t>DEDUCCION</t>
  </si>
  <si>
    <t>Descuento mensual</t>
  </si>
  <si>
    <t>2026-04</t>
  </si>
  <si>
    <t>Meta parcial</t>
  </si>
  <si>
    <t>Calculo individual de nomina</t>
  </si>
  <si>
    <t>Desglose</t>
  </si>
  <si>
    <t>sueldo_base</t>
  </si>
  <si>
    <t>bono_puesto</t>
  </si>
  <si>
    <t>conceptos_fijos_globales</t>
  </si>
  <si>
    <t>percepciones_variables_periodo</t>
  </si>
  <si>
    <t>total_percepciones</t>
  </si>
  <si>
    <t>deducciones_globales</t>
  </si>
  <si>
    <t>deducciones_variables_periodo</t>
  </si>
  <si>
    <t>total_deducciones</t>
  </si>
  <si>
    <t>neto_pagar</t>
  </si>
  <si>
    <t>Nomina general</t>
  </si>
  <si>
    <t>conceptos_fijos</t>
  </si>
  <si>
    <t>percepciones_variables</t>
  </si>
  <si>
    <t>deducciones_variables</t>
  </si>
  <si>
    <t>TOTALES</t>
  </si>
  <si>
    <t>id</t>
  </si>
  <si>
    <t>nombre</t>
  </si>
  <si>
    <t>pension</t>
  </si>
  <si>
    <t>porcentaje_pension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</si>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</sst>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\$#,##0.00;[Red]\(\$#,##0.00\);\-"/>
    <numFmt numFmtId="166" formatCode="0.0%;[Red]\(0.0%\);\-"/>
    <numFmt numFmtId="167" formatCode="yyyy\-mm\-dd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sz val="15"/>
      <color rgb="FFFFFFFF"/>
      <name val="Calibri"/>
    </font>
    <font>
      <sz val="11"/>
      <color rgb="FF1F4E78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F8FC"/>
      </patternFill>
    </fill>
    <fill>
      <patternFill patternType="solid">
        <fgColor rgb="FFEAF3FF"/>
      </patternFill>
    </fill>
    <fill>
      <patternFill patternType="solid">
        <fgColor rgb="FFF7F7F7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7F8C8D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vertical="center"/>
    </xf>
    <xf numFmtId="165" fontId="5" fillId="4" borderId="2" xfId="0" applyNumberFormat="1" applyFont="1" applyFill="1" applyBorder="1" applyAlignment="1">
      <alignment vertical="center"/>
    </xf>
    <xf numFmtId="0" fontId="0" fillId="0" borderId="2" xfId="0" applyBorder="1"/>
    <xf numFmtId="165" fontId="0" fillId="0" borderId="2" xfId="0" applyNumberFormat="1" applyBorder="1"/>
    <xf numFmtId="166" fontId="5" fillId="4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67" fontId="5" fillId="4" borderId="2" xfId="0" applyNumberFormat="1" applyFont="1" applyFill="1" applyBorder="1" applyAlignment="1">
      <alignment vertical="center"/>
    </xf>
    <xf numFmtId="165" fontId="4" fillId="6" borderId="2" xfId="0" applyNumberFormat="1" applyFont="1" applyFill="1" applyBorder="1" applyAlignment="1">
      <alignment vertical="center"/>
    </xf>
    <xf numFmtId="167" fontId="0" fillId="0" borderId="2" xfId="0" applyNumberFormat="1" applyBorder="1"/>
    <xf numFmtId="0" fontId="2" fillId="0" borderId="0" xfId="0" applyFont="1" applyAlignment="1">
      <alignment vertical="center"/>
    </xf>
    <xf numFmtId="0" fontId="6" fillId="5" borderId="3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8" fillId="0" borderId="0" xfId="0" applyFont="1" applyAlignment="1">
      <alignment vertical="center"/>
    </xf>
    <xf numFmtId="165" fontId="0" fillId="6" borderId="2" xfId="0" applyNumberFormat="1" applyFill="1" applyBorder="1" applyAlignment="1">
      <alignment vertical="center"/>
    </xf>
    <xf numFmtId="165" fontId="9" fillId="7" borderId="2" xfId="0" applyNumberFormat="1" applyFont="1" applyFill="1" applyBorder="1" applyAlignment="1">
      <alignment vertical="center"/>
    </xf>
    <xf numFmtId="165" fontId="9" fillId="8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0" fillId="4" borderId="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165" fontId="0" fillId="0" borderId="0" xfId="0" applyNumberFormat="1"/>
    <xf numFmtId="165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819ba6a438af44bc" Target="persons/person.xml" Type="http://schemas.microsoft.com/office/2017/10/relationships/person"/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1762125</xdr:colOff>
      <xdr:row>26</xdr:row>
      <xdr:rowOff>57150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97B5A2C0-5DB3-7CF3-669D-7ED66D6A9F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1047750</xdr:colOff>
      <xdr:row>26</xdr:row>
      <xdr:rowOff>57150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774DBA15-1E84-9F7C-1A39-1E3BC44242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47625</xdr:colOff>
      <xdr:row>26</xdr:row>
      <xdr:rowOff>57150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582F8D90-AA6A-3DB9-7C02-9EAD35624E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762000</xdr:colOff>
      <xdr:row>26</xdr:row>
      <xdr:rowOff>57150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50F2D76-C81C-D6DE-22F2-445E0DB451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E8936908-19DD-3885-CEE8-22A2EAA5F62A}"/>
  <xltc:person displayName="OpenAI" id="{BB5F70EA-9931-9D8E-F06B-CB8BF80DDD74}"/>
  <xltc:person displayName="OpenAI" id="{BF942F39-819F-102B-533B-E8F00E8256D1}"/>
  <xltc:person displayName="OpenAI" id="{1D1827FB-BB2F-0B59-4FE7-5FD90C4132A8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6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drawings/vmlDrawing2.vml" Type="http://schemas.openxmlformats.org/officeDocument/2006/relationships/vmlDrawing"/><Relationship Id="rId3" Target="../comments2.xml" Type="http://schemas.openxmlformats.org/officeDocument/2006/relationships/comments"/></Relationships>
</file>

<file path=xl/worksheets/_rels/sheet7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_rels/sheet8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drawings/vmlDrawing4.vml" Type="http://schemas.openxmlformats.org/officeDocument/2006/relationships/vmlDrawing"/><Relationship Id="rId3" Target="../comments4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A5" workbookViewId="0">
      <selection sqref="A1:H1"/>
    </sheetView>
  </sheetViews>
  <sheetFormatPr baseColWidth="10" defaultColWidth="9.06640625" defaultRowHeight="14.25" x14ac:dyDescent="0.45"/>
  <cols>
    <col min="1" max="1" customWidth="true" width="24.0"/>
    <col min="2" max="2" customWidth="true" width="40.0"/>
    <col min="3" max="3" customWidth="true" width="12.0"/>
    <col min="4" max="4" customWidth="true" width="48.0"/>
  </cols>
  <sheetData>
    <row r="1" spans="1:8" ht="21" x14ac:dyDescent="0.45">
      <c r="A1" s="28" t="s">
        <v>43</v>
      </c>
      <c r="B1" s="29"/>
      <c r="C1" s="29"/>
      <c r="D1" s="29"/>
      <c r="E1" s="29"/>
      <c r="F1" s="29"/>
      <c r="G1" s="29"/>
      <c r="H1" s="29"/>
    </row>
    <row r="3" spans="1:8" x14ac:dyDescent="0.45">
      <c r="A3" s="1" t="s">
        <v>44</v>
      </c>
    </row>
    <row r="4" spans="1:8" x14ac:dyDescent="0.45">
      <c r="A4" s="1" t="s">
        <v>45</v>
      </c>
    </row>
    <row r="6" spans="1:8" x14ac:dyDescent="0.45">
      <c r="A6" s="2" t="s">
        <v>46</v>
      </c>
    </row>
    <row r="7" spans="1:8" x14ac:dyDescent="0.45">
      <c r="A7" s="1" t="s">
        <v>47</v>
      </c>
    </row>
    <row r="8" spans="1:8" x14ac:dyDescent="0.45">
      <c r="A8" s="1" t="s">
        <v>48</v>
      </c>
    </row>
    <row r="9" spans="1:8" x14ac:dyDescent="0.45">
      <c r="A9" s="1" t="s">
        <v>49</v>
      </c>
    </row>
    <row r="10" spans="1:8" x14ac:dyDescent="0.45">
      <c r="A10" s="1" t="s">
        <v>50</v>
      </c>
    </row>
    <row r="11" spans="1:8" x14ac:dyDescent="0.45">
      <c r="A11" s="1" t="s">
        <v>51</v>
      </c>
    </row>
    <row r="13" spans="1:8" x14ac:dyDescent="0.45">
      <c r="A13" s="2" t="s">
        <v>52</v>
      </c>
    </row>
    <row r="14" spans="1:8" x14ac:dyDescent="0.45">
      <c r="A14" s="3" t="s">
        <v>53</v>
      </c>
      <c r="B14" s="3" t="s">
        <v>54</v>
      </c>
      <c r="C14" s="3" t="s">
        <v>55</v>
      </c>
      <c r="D14" s="3" t="s">
        <v>56</v>
      </c>
    </row>
    <row r="15" spans="1:8" x14ac:dyDescent="0.45">
      <c r="A15" s="4" t="s">
        <v>57</v>
      </c>
      <c r="B15" s="4" t="s">
        <v>58</v>
      </c>
      <c r="C15" s="4" t="s">
        <v>59</v>
      </c>
      <c r="D15" s="4" t="s">
        <v>60</v>
      </c>
    </row>
    <row r="16" spans="1:8" x14ac:dyDescent="0.45">
      <c r="A16" s="4" t="s">
        <v>61</v>
      </c>
      <c r="B16" s="4" t="s">
        <v>62</v>
      </c>
      <c r="C16" s="4" t="s">
        <v>59</v>
      </c>
      <c r="D16" s="4" t="s">
        <v>63</v>
      </c>
    </row>
    <row r="17" spans="1:4" x14ac:dyDescent="0.45">
      <c r="A17" s="4" t="s">
        <v>64</v>
      </c>
      <c r="B17" s="4" t="s">
        <v>65</v>
      </c>
      <c r="C17" s="4" t="s">
        <v>59</v>
      </c>
      <c r="D17" s="4" t="s">
        <v>66</v>
      </c>
    </row>
    <row r="18" spans="1:4" x14ac:dyDescent="0.45">
      <c r="A18" s="4" t="s">
        <v>67</v>
      </c>
      <c r="B18" s="4" t="s">
        <v>68</v>
      </c>
      <c r="C18" s="4" t="s">
        <v>59</v>
      </c>
      <c r="D18" s="4" t="s">
        <v>69</v>
      </c>
    </row>
    <row r="19" spans="1:4" x14ac:dyDescent="0.45">
      <c r="A19" s="4" t="s">
        <v>70</v>
      </c>
      <c r="B19" s="4" t="s">
        <v>71</v>
      </c>
      <c r="C19" s="4" t="s">
        <v>59</v>
      </c>
      <c r="D19" s="4" t="s">
        <v>72</v>
      </c>
    </row>
    <row r="20" spans="1:4" x14ac:dyDescent="0.45">
      <c r="A20" s="4" t="s">
        <v>73</v>
      </c>
      <c r="B20" s="4" t="s">
        <v>74</v>
      </c>
      <c r="C20" s="4" t="s">
        <v>59</v>
      </c>
      <c r="D20" s="4" t="s">
        <v>75</v>
      </c>
    </row>
    <row r="21" spans="1:4" x14ac:dyDescent="0.45">
      <c r="A21" s="4" t="s">
        <v>76</v>
      </c>
      <c r="B21" s="4" t="s">
        <v>77</v>
      </c>
      <c r="C21" s="4" t="s">
        <v>59</v>
      </c>
      <c r="D21" s="4" t="s">
        <v>78</v>
      </c>
    </row>
    <row r="22" spans="1:4" x14ac:dyDescent="0.45">
      <c r="A22" s="4" t="s">
        <v>79</v>
      </c>
      <c r="B22" s="4" t="s">
        <v>80</v>
      </c>
      <c r="C22" s="4" t="s">
        <v>59</v>
      </c>
      <c r="D22" s="4" t="s">
        <v>81</v>
      </c>
    </row>
    <row r="23" spans="1:4" x14ac:dyDescent="0.45">
      <c r="A23" s="4" t="s">
        <v>82</v>
      </c>
      <c r="B23" s="4" t="s">
        <v>83</v>
      </c>
      <c r="C23" s="4" t="s">
        <v>59</v>
      </c>
      <c r="D23" s="4" t="s">
        <v>84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32" sqref="B32"/>
    </sheetView>
  </sheetViews>
  <sheetFormatPr baseColWidth="10" defaultColWidth="9.06640625" defaultRowHeight="14.25" x14ac:dyDescent="0.45"/>
  <cols>
    <col min="1" max="1" customWidth="true" width="24.0"/>
    <col min="2" max="2" customWidth="true" width="18.0"/>
    <col min="3" max="3" customWidth="true" width="70.0"/>
  </cols>
  <sheetData>
    <row r="1" spans="1:3" x14ac:dyDescent="0.45">
      <c r="A1" s="3" t="s">
        <v>85</v>
      </c>
      <c r="B1" s="3" t="s">
        <v>86</v>
      </c>
      <c r="C1" s="3" t="s">
        <v>56</v>
      </c>
    </row>
    <row r="2" spans="1:3" x14ac:dyDescent="0.45">
      <c r="A2" s="5" t="s">
        <v>87</v>
      </c>
      <c r="B2" s="6" t="s">
        <v>88</v>
      </c>
      <c r="C2" s="5" t="s">
        <v>89</v>
      </c>
    </row>
    <row r="3" spans="1:3" x14ac:dyDescent="0.45">
      <c r="A3" s="5" t="s">
        <v>90</v>
      </c>
      <c r="B3" s="5" t="s">
        <v>91</v>
      </c>
      <c r="C3" s="5" t="s">
        <v>92</v>
      </c>
    </row>
    <row r="4" spans="1:3" x14ac:dyDescent="0.45">
      <c r="A4" s="5" t="s">
        <v>93</v>
      </c>
      <c r="B4" s="5" t="s">
        <v>94</v>
      </c>
      <c r="C4" s="5" t="s">
        <v>95</v>
      </c>
    </row>
    <row r="5" spans="1:3" x14ac:dyDescent="0.45">
      <c r="A5" s="5" t="s">
        <v>96</v>
      </c>
      <c r="B5" s="7">
        <v>200</v>
      </c>
      <c r="C5" s="5" t="s">
        <v>97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2"/>
  <sheetViews>
    <sheetView workbookViewId="0"/>
  </sheetViews>
  <sheetFormatPr baseColWidth="10" defaultColWidth="9.06640625" defaultRowHeight="14.25" x14ac:dyDescent="0.45"/>
  <cols>
    <col min="1" max="1" customWidth="true" width="12.0"/>
    <col min="2" max="2" customWidth="true" width="28.0"/>
    <col min="3" max="3" customWidth="true" width="20.0"/>
    <col min="4" max="4" customWidth="true" width="18.0"/>
    <col min="5" max="5" customWidth="true" width="16.0"/>
    <col min="6" max="6" customWidth="true" width="10.0"/>
  </cols>
  <sheetData>
    <row r="1" spans="1:6" x14ac:dyDescent="0.45">
      <c r="A1" s="3" t="s">
        <v>99</v>
      </c>
      <c r="B1" s="3" t="s">
        <v>212</v>
      </c>
      <c r="C1" s="3" t="s">
        <v>100</v>
      </c>
      <c r="D1" s="3" t="s">
        <v>101</v>
      </c>
      <c r="E1" s="3" t="s">
        <v>102</v>
      </c>
      <c r="F1" s="3" t="s">
        <v>103</v>
      </c>
    </row>
    <row r="2" spans="1:6" x14ac:dyDescent="0.45">
      <c r="A2" s="5" t="s">
        <v>29</v>
      </c>
      <c r="B2" s="5" t="s">
        <v>104</v>
      </c>
      <c r="C2" s="8">
        <v>12000</v>
      </c>
      <c r="D2" s="8">
        <v>1000</v>
      </c>
      <c r="E2" s="8">
        <v>90</v>
      </c>
      <c r="F2" s="5" t="s">
        <v>59</v>
      </c>
    </row>
    <row r="3" spans="1:6" x14ac:dyDescent="0.45">
      <c r="A3" s="5" t="s">
        <v>105</v>
      </c>
      <c r="B3" s="5" t="s">
        <v>106</v>
      </c>
      <c r="C3" s="8">
        <v>18000</v>
      </c>
      <c r="D3" s="8">
        <v>1500</v>
      </c>
      <c r="E3" s="8">
        <v>120</v>
      </c>
      <c r="F3" s="5" t="s">
        <v>59</v>
      </c>
    </row>
    <row r="4" spans="1:6" x14ac:dyDescent="0.45">
      <c r="A4" s="5" t="s">
        <v>107</v>
      </c>
      <c r="B4" s="5" t="s">
        <v>108</v>
      </c>
      <c r="C4" s="8">
        <v>25000</v>
      </c>
      <c r="D4" s="8">
        <v>3000</v>
      </c>
      <c r="E4" s="8">
        <v>160</v>
      </c>
      <c r="F4" s="5" t="s">
        <v>59</v>
      </c>
    </row>
    <row r="5" spans="1:6" x14ac:dyDescent="0.45">
      <c r="A5" s="5" t="s">
        <v>109</v>
      </c>
      <c r="B5" s="5" t="s">
        <v>110</v>
      </c>
      <c r="C5" s="8">
        <v>35000</v>
      </c>
      <c r="D5" s="8">
        <v>5000</v>
      </c>
      <c r="E5" s="8">
        <v>220</v>
      </c>
      <c r="F5" s="5" t="s">
        <v>59</v>
      </c>
    </row>
    <row r="6" spans="1:6" x14ac:dyDescent="0.45">
      <c r="A6" s="9"/>
      <c r="B6" s="9"/>
      <c r="C6" s="10"/>
      <c r="D6" s="10"/>
      <c r="E6" s="10"/>
      <c r="F6" s="9"/>
    </row>
    <row r="7" spans="1:6" x14ac:dyDescent="0.45">
      <c r="A7" s="9"/>
      <c r="B7" s="9"/>
      <c r="C7" s="10"/>
      <c r="D7" s="10"/>
      <c r="E7" s="10"/>
      <c r="F7" s="9"/>
    </row>
    <row r="8" spans="1:6" x14ac:dyDescent="0.45">
      <c r="A8" s="9"/>
      <c r="B8" s="9"/>
      <c r="C8" s="10"/>
      <c r="D8" s="10"/>
      <c r="E8" s="10"/>
      <c r="F8" s="9"/>
    </row>
    <row r="9" spans="1:6" x14ac:dyDescent="0.45">
      <c r="A9" s="9"/>
      <c r="B9" s="9"/>
      <c r="C9" s="10"/>
      <c r="D9" s="10"/>
      <c r="E9" s="10"/>
      <c r="F9" s="9"/>
    </row>
    <row r="10" spans="1:6" x14ac:dyDescent="0.45">
      <c r="A10" s="9"/>
      <c r="B10" s="9"/>
      <c r="C10" s="10"/>
      <c r="D10" s="10"/>
      <c r="E10" s="10"/>
      <c r="F10" s="9"/>
    </row>
    <row r="11" spans="1:6" x14ac:dyDescent="0.45">
      <c r="A11" s="9"/>
      <c r="B11" s="9"/>
      <c r="C11" s="10"/>
      <c r="D11" s="10"/>
      <c r="E11" s="10"/>
      <c r="F11" s="9"/>
    </row>
    <row r="12" spans="1:6" x14ac:dyDescent="0.45">
      <c r="A12" s="9"/>
      <c r="B12" s="9"/>
      <c r="C12" s="10"/>
      <c r="D12" s="10"/>
      <c r="E12" s="10"/>
      <c r="F12" s="9"/>
    </row>
    <row r="13" spans="1:6" x14ac:dyDescent="0.45">
      <c r="A13" s="9"/>
      <c r="B13" s="9"/>
      <c r="C13" s="10"/>
      <c r="D13" s="10"/>
      <c r="E13" s="10"/>
      <c r="F13" s="9"/>
    </row>
    <row r="14" spans="1:6" x14ac:dyDescent="0.45">
      <c r="A14" s="9"/>
      <c r="B14" s="9"/>
      <c r="C14" s="10"/>
      <c r="D14" s="10"/>
      <c r="E14" s="10"/>
      <c r="F14" s="9"/>
    </row>
    <row r="15" spans="1:6" x14ac:dyDescent="0.45">
      <c r="A15" s="9"/>
      <c r="B15" s="9"/>
      <c r="C15" s="10"/>
      <c r="D15" s="10"/>
      <c r="E15" s="10"/>
      <c r="F15" s="9"/>
    </row>
    <row r="16" spans="1:6" x14ac:dyDescent="0.45">
      <c r="A16" s="9"/>
      <c r="B16" s="9"/>
      <c r="C16" s="10"/>
      <c r="D16" s="10"/>
      <c r="E16" s="10"/>
      <c r="F16" s="9"/>
    </row>
    <row r="17" spans="1:6" x14ac:dyDescent="0.45">
      <c r="A17" s="9"/>
      <c r="B17" s="9"/>
      <c r="C17" s="10"/>
      <c r="D17" s="10"/>
      <c r="E17" s="10"/>
      <c r="F17" s="9"/>
    </row>
    <row r="18" spans="1:6" x14ac:dyDescent="0.45">
      <c r="A18" s="9"/>
      <c r="B18" s="9"/>
      <c r="C18" s="10"/>
      <c r="D18" s="10"/>
      <c r="E18" s="10"/>
      <c r="F18" s="9"/>
    </row>
    <row r="19" spans="1:6" x14ac:dyDescent="0.45">
      <c r="A19" s="9"/>
      <c r="B19" s="9"/>
      <c r="C19" s="10"/>
      <c r="D19" s="10"/>
      <c r="E19" s="10"/>
      <c r="F19" s="9"/>
    </row>
    <row r="20" spans="1:6" x14ac:dyDescent="0.45">
      <c r="A20" s="9"/>
      <c r="B20" s="9"/>
      <c r="C20" s="10"/>
      <c r="D20" s="10"/>
      <c r="E20" s="10"/>
      <c r="F20" s="9"/>
    </row>
    <row r="21" spans="1:6" x14ac:dyDescent="0.45">
      <c r="A21" s="9"/>
      <c r="B21" s="9"/>
      <c r="C21" s="10"/>
      <c r="D21" s="10"/>
      <c r="E21" s="10"/>
      <c r="F21" s="9"/>
    </row>
    <row r="22" spans="1:6" x14ac:dyDescent="0.45">
      <c r="A22" s="9"/>
      <c r="B22" s="9"/>
      <c r="C22" s="10"/>
      <c r="D22" s="10"/>
      <c r="E22" s="10"/>
      <c r="F22" s="9"/>
    </row>
    <row r="23" spans="1:6" x14ac:dyDescent="0.45">
      <c r="A23" s="9"/>
      <c r="B23" s="9"/>
      <c r="C23" s="10"/>
      <c r="D23" s="10"/>
      <c r="E23" s="10"/>
      <c r="F23" s="9"/>
    </row>
    <row r="24" spans="1:6" x14ac:dyDescent="0.45">
      <c r="A24" s="9"/>
      <c r="B24" s="9"/>
      <c r="C24" s="10"/>
      <c r="D24" s="10"/>
      <c r="E24" s="10"/>
      <c r="F24" s="9"/>
    </row>
    <row r="25" spans="1:6" x14ac:dyDescent="0.45">
      <c r="A25" s="9"/>
      <c r="B25" s="9"/>
      <c r="C25" s="10"/>
      <c r="D25" s="10"/>
      <c r="E25" s="10"/>
      <c r="F25" s="9"/>
    </row>
    <row r="26" spans="1:6" x14ac:dyDescent="0.45">
      <c r="A26" s="9"/>
      <c r="B26" s="9"/>
      <c r="C26" s="10"/>
      <c r="D26" s="10"/>
      <c r="E26" s="10"/>
      <c r="F26" s="9"/>
    </row>
    <row r="27" spans="1:6" x14ac:dyDescent="0.45">
      <c r="A27" s="9"/>
      <c r="B27" s="9"/>
      <c r="C27" s="10"/>
      <c r="D27" s="10"/>
      <c r="E27" s="10"/>
      <c r="F27" s="9"/>
    </row>
    <row r="28" spans="1:6" x14ac:dyDescent="0.45">
      <c r="A28" s="9"/>
      <c r="B28" s="9"/>
      <c r="C28" s="10"/>
      <c r="D28" s="10"/>
      <c r="E28" s="10"/>
      <c r="F28" s="9"/>
    </row>
    <row r="29" spans="1:6" x14ac:dyDescent="0.45">
      <c r="A29" s="9"/>
      <c r="B29" s="9"/>
      <c r="C29" s="10"/>
      <c r="D29" s="10"/>
      <c r="E29" s="10"/>
      <c r="F29" s="9"/>
    </row>
    <row r="30" spans="1:6" x14ac:dyDescent="0.45">
      <c r="A30" s="9"/>
      <c r="B30" s="9"/>
      <c r="C30" s="10"/>
      <c r="D30" s="10"/>
      <c r="E30" s="10"/>
      <c r="F30" s="9"/>
    </row>
    <row r="31" spans="1:6" x14ac:dyDescent="0.45">
      <c r="A31" s="9"/>
      <c r="B31" s="9"/>
      <c r="C31" s="10"/>
      <c r="D31" s="10"/>
      <c r="E31" s="10"/>
      <c r="F31" s="9"/>
    </row>
    <row r="32" spans="1:6" x14ac:dyDescent="0.45">
      <c r="A32" s="9"/>
      <c r="B32" s="9"/>
      <c r="C32" s="10"/>
      <c r="D32" s="10"/>
      <c r="E32" s="10"/>
      <c r="F32" s="9"/>
    </row>
    <row r="33" spans="1:6" x14ac:dyDescent="0.45">
      <c r="A33" s="9"/>
      <c r="B33" s="9"/>
      <c r="C33" s="10"/>
      <c r="D33" s="10"/>
      <c r="E33" s="10"/>
      <c r="F33" s="9"/>
    </row>
    <row r="34" spans="1:6" x14ac:dyDescent="0.45">
      <c r="A34" s="9"/>
      <c r="B34" s="9"/>
      <c r="C34" s="10"/>
      <c r="D34" s="10"/>
      <c r="E34" s="10"/>
      <c r="F34" s="9"/>
    </row>
    <row r="35" spans="1:6" x14ac:dyDescent="0.45">
      <c r="A35" s="9"/>
      <c r="B35" s="9"/>
      <c r="C35" s="10"/>
      <c r="D35" s="10"/>
      <c r="E35" s="10"/>
      <c r="F35" s="9"/>
    </row>
    <row r="36" spans="1:6" x14ac:dyDescent="0.45">
      <c r="A36" s="9"/>
      <c r="B36" s="9"/>
      <c r="C36" s="10"/>
      <c r="D36" s="10"/>
      <c r="E36" s="10"/>
      <c r="F36" s="9"/>
    </row>
    <row r="37" spans="1:6" x14ac:dyDescent="0.45">
      <c r="A37" s="9"/>
      <c r="B37" s="9"/>
      <c r="C37" s="10"/>
      <c r="D37" s="10"/>
      <c r="E37" s="10"/>
      <c r="F37" s="9"/>
    </row>
    <row r="38" spans="1:6" x14ac:dyDescent="0.45">
      <c r="A38" s="9"/>
      <c r="B38" s="9"/>
      <c r="C38" s="10"/>
      <c r="D38" s="10"/>
      <c r="E38" s="10"/>
      <c r="F38" s="9"/>
    </row>
    <row r="39" spans="1:6" x14ac:dyDescent="0.45">
      <c r="A39" s="9"/>
      <c r="B39" s="9"/>
      <c r="C39" s="10"/>
      <c r="D39" s="10"/>
      <c r="E39" s="10"/>
      <c r="F39" s="9"/>
    </row>
    <row r="40" spans="1:6" x14ac:dyDescent="0.45">
      <c r="A40" s="9"/>
      <c r="B40" s="9"/>
      <c r="C40" s="10"/>
      <c r="D40" s="10"/>
      <c r="E40" s="10"/>
      <c r="F40" s="9"/>
    </row>
    <row r="41" spans="1:6" x14ac:dyDescent="0.45">
      <c r="A41" s="9"/>
      <c r="B41" s="9"/>
      <c r="C41" s="10"/>
      <c r="D41" s="10"/>
      <c r="E41" s="10"/>
      <c r="F41" s="9"/>
    </row>
    <row r="42" spans="1:6" x14ac:dyDescent="0.45">
      <c r="A42" s="9"/>
      <c r="B42" s="9"/>
      <c r="C42" s="10"/>
      <c r="D42" s="10"/>
      <c r="E42" s="10"/>
      <c r="F42" s="9"/>
    </row>
    <row r="43" spans="1:6" x14ac:dyDescent="0.45">
      <c r="A43" s="9"/>
      <c r="B43" s="9"/>
      <c r="C43" s="10"/>
      <c r="D43" s="10"/>
      <c r="E43" s="10"/>
      <c r="F43" s="9"/>
    </row>
    <row r="44" spans="1:6" x14ac:dyDescent="0.45">
      <c r="A44" s="9"/>
      <c r="B44" s="9"/>
      <c r="C44" s="10"/>
      <c r="D44" s="10"/>
      <c r="E44" s="10"/>
      <c r="F44" s="9"/>
    </row>
    <row r="45" spans="1:6" x14ac:dyDescent="0.45">
      <c r="A45" s="9"/>
      <c r="B45" s="9"/>
      <c r="C45" s="10"/>
      <c r="D45" s="10"/>
      <c r="E45" s="10"/>
      <c r="F45" s="9"/>
    </row>
    <row r="46" spans="1:6" x14ac:dyDescent="0.45">
      <c r="A46" s="9"/>
      <c r="B46" s="9"/>
      <c r="C46" s="10"/>
      <c r="D46" s="10"/>
      <c r="E46" s="10"/>
      <c r="F46" s="9"/>
    </row>
    <row r="47" spans="1:6" x14ac:dyDescent="0.45">
      <c r="A47" s="9"/>
      <c r="B47" s="9"/>
      <c r="C47" s="10"/>
      <c r="D47" s="10"/>
      <c r="E47" s="10"/>
      <c r="F47" s="9"/>
    </row>
    <row r="48" spans="1:6" x14ac:dyDescent="0.45">
      <c r="A48" s="9"/>
      <c r="B48" s="9"/>
      <c r="C48" s="10"/>
      <c r="D48" s="10"/>
      <c r="E48" s="10"/>
      <c r="F48" s="9"/>
    </row>
    <row r="49" spans="1:6" x14ac:dyDescent="0.45">
      <c r="A49" s="9"/>
      <c r="B49" s="9"/>
      <c r="C49" s="10"/>
      <c r="D49" s="10"/>
      <c r="E49" s="10"/>
      <c r="F49" s="9"/>
    </row>
    <row r="50" spans="1:6" x14ac:dyDescent="0.45">
      <c r="A50" s="9"/>
      <c r="B50" s="9"/>
      <c r="C50" s="10"/>
      <c r="D50" s="10"/>
      <c r="E50" s="10"/>
      <c r="F50" s="9"/>
    </row>
    <row r="51" spans="1:6" x14ac:dyDescent="0.45">
      <c r="A51" s="9"/>
      <c r="B51" s="9"/>
      <c r="C51" s="10"/>
      <c r="D51" s="10"/>
      <c r="E51" s="10"/>
      <c r="F51" s="9"/>
    </row>
    <row r="52" spans="1:6" x14ac:dyDescent="0.45">
      <c r="A52" s="9"/>
      <c r="B52" s="9"/>
      <c r="C52" s="10"/>
      <c r="D52" s="10"/>
      <c r="E52" s="10"/>
      <c r="F52" s="9"/>
    </row>
    <row r="53" spans="1:6" x14ac:dyDescent="0.45">
      <c r="A53" s="9"/>
      <c r="B53" s="9"/>
      <c r="C53" s="10"/>
      <c r="D53" s="10"/>
      <c r="E53" s="10"/>
      <c r="F53" s="9"/>
    </row>
    <row r="54" spans="1:6" x14ac:dyDescent="0.45">
      <c r="A54" s="9"/>
      <c r="B54" s="9"/>
      <c r="C54" s="10"/>
      <c r="D54" s="10"/>
      <c r="E54" s="10"/>
      <c r="F54" s="9"/>
    </row>
    <row r="55" spans="1:6" x14ac:dyDescent="0.45">
      <c r="A55" s="9"/>
      <c r="B55" s="9"/>
      <c r="C55" s="10"/>
      <c r="D55" s="10"/>
      <c r="E55" s="10"/>
      <c r="F55" s="9"/>
    </row>
    <row r="56" spans="1:6" x14ac:dyDescent="0.45">
      <c r="A56" s="9"/>
      <c r="B56" s="9"/>
      <c r="C56" s="10"/>
      <c r="D56" s="10"/>
      <c r="E56" s="10"/>
      <c r="F56" s="9"/>
    </row>
    <row r="57" spans="1:6" x14ac:dyDescent="0.45">
      <c r="A57" s="9"/>
      <c r="B57" s="9"/>
      <c r="C57" s="10"/>
      <c r="D57" s="10"/>
      <c r="E57" s="10"/>
      <c r="F57" s="9"/>
    </row>
    <row r="58" spans="1:6" x14ac:dyDescent="0.45">
      <c r="A58" s="9"/>
      <c r="B58" s="9"/>
      <c r="C58" s="10"/>
      <c r="D58" s="10"/>
      <c r="E58" s="10"/>
      <c r="F58" s="9"/>
    </row>
    <row r="59" spans="1:6" x14ac:dyDescent="0.45">
      <c r="A59" s="9"/>
      <c r="B59" s="9"/>
      <c r="C59" s="10"/>
      <c r="D59" s="10"/>
      <c r="E59" s="10"/>
      <c r="F59" s="9"/>
    </row>
    <row r="60" spans="1:6" x14ac:dyDescent="0.45">
      <c r="A60" s="9"/>
      <c r="B60" s="9"/>
      <c r="C60" s="10"/>
      <c r="D60" s="10"/>
      <c r="E60" s="10"/>
      <c r="F60" s="9"/>
    </row>
    <row r="61" spans="1:6" x14ac:dyDescent="0.45">
      <c r="A61" s="9"/>
      <c r="B61" s="9"/>
      <c r="C61" s="10"/>
      <c r="D61" s="10"/>
      <c r="E61" s="10"/>
      <c r="F61" s="9"/>
    </row>
    <row r="62" spans="1:6" x14ac:dyDescent="0.45">
      <c r="A62" s="9"/>
      <c r="B62" s="9"/>
      <c r="C62" s="10"/>
      <c r="D62" s="10"/>
      <c r="E62" s="10"/>
      <c r="F62" s="9"/>
    </row>
    <row r="63" spans="1:6" x14ac:dyDescent="0.45">
      <c r="A63" s="9"/>
      <c r="B63" s="9"/>
      <c r="C63" s="10"/>
      <c r="D63" s="10"/>
      <c r="E63" s="10"/>
      <c r="F63" s="9"/>
    </row>
    <row r="64" spans="1:6" x14ac:dyDescent="0.45">
      <c r="A64" s="9"/>
      <c r="B64" s="9"/>
      <c r="C64" s="10"/>
      <c r="D64" s="10"/>
      <c r="E64" s="10"/>
      <c r="F64" s="9"/>
    </row>
    <row r="65" spans="1:6" x14ac:dyDescent="0.45">
      <c r="A65" s="9"/>
      <c r="B65" s="9"/>
      <c r="C65" s="10"/>
      <c r="D65" s="10"/>
      <c r="E65" s="10"/>
      <c r="F65" s="9"/>
    </row>
    <row r="66" spans="1:6" x14ac:dyDescent="0.45">
      <c r="A66" s="9"/>
      <c r="B66" s="9"/>
      <c r="C66" s="10"/>
      <c r="D66" s="10"/>
      <c r="E66" s="10"/>
      <c r="F66" s="9"/>
    </row>
    <row r="67" spans="1:6" x14ac:dyDescent="0.45">
      <c r="A67" s="9"/>
      <c r="B67" s="9"/>
      <c r="C67" s="10"/>
      <c r="D67" s="10"/>
      <c r="E67" s="10"/>
      <c r="F67" s="9"/>
    </row>
    <row r="68" spans="1:6" x14ac:dyDescent="0.45">
      <c r="A68" s="9"/>
      <c r="B68" s="9"/>
      <c r="C68" s="10"/>
      <c r="D68" s="10"/>
      <c r="E68" s="10"/>
      <c r="F68" s="9"/>
    </row>
    <row r="69" spans="1:6" x14ac:dyDescent="0.45">
      <c r="A69" s="9"/>
      <c r="B69" s="9"/>
      <c r="C69" s="10"/>
      <c r="D69" s="10"/>
      <c r="E69" s="10"/>
      <c r="F69" s="9"/>
    </row>
    <row r="70" spans="1:6" x14ac:dyDescent="0.45">
      <c r="A70" s="9"/>
      <c r="B70" s="9"/>
      <c r="C70" s="10"/>
      <c r="D70" s="10"/>
      <c r="E70" s="10"/>
      <c r="F70" s="9"/>
    </row>
    <row r="71" spans="1:6" x14ac:dyDescent="0.45">
      <c r="A71" s="9"/>
      <c r="B71" s="9"/>
      <c r="C71" s="10"/>
      <c r="D71" s="10"/>
      <c r="E71" s="10"/>
      <c r="F71" s="9"/>
    </row>
    <row r="72" spans="1:6" x14ac:dyDescent="0.45">
      <c r="A72" s="9"/>
      <c r="B72" s="9"/>
      <c r="C72" s="10"/>
      <c r="D72" s="10"/>
      <c r="E72" s="10"/>
      <c r="F72" s="9"/>
    </row>
    <row r="73" spans="1:6" x14ac:dyDescent="0.45">
      <c r="A73" s="9"/>
      <c r="B73" s="9"/>
      <c r="C73" s="10"/>
      <c r="D73" s="10"/>
      <c r="E73" s="10"/>
      <c r="F73" s="9"/>
    </row>
    <row r="74" spans="1:6" x14ac:dyDescent="0.45">
      <c r="A74" s="9"/>
      <c r="B74" s="9"/>
      <c r="C74" s="10"/>
      <c r="D74" s="10"/>
      <c r="E74" s="10"/>
      <c r="F74" s="9"/>
    </row>
    <row r="75" spans="1:6" x14ac:dyDescent="0.45">
      <c r="A75" s="9"/>
      <c r="B75" s="9"/>
      <c r="C75" s="10"/>
      <c r="D75" s="10"/>
      <c r="E75" s="10"/>
      <c r="F75" s="9"/>
    </row>
    <row r="76" spans="1:6" x14ac:dyDescent="0.45">
      <c r="A76" s="9"/>
      <c r="B76" s="9"/>
      <c r="C76" s="10"/>
      <c r="D76" s="10"/>
      <c r="E76" s="10"/>
      <c r="F76" s="9"/>
    </row>
    <row r="77" spans="1:6" x14ac:dyDescent="0.45">
      <c r="A77" s="9"/>
      <c r="B77" s="9"/>
      <c r="C77" s="10"/>
      <c r="D77" s="10"/>
      <c r="E77" s="10"/>
      <c r="F77" s="9"/>
    </row>
    <row r="78" spans="1:6" x14ac:dyDescent="0.45">
      <c r="A78" s="9"/>
      <c r="B78" s="9"/>
      <c r="C78" s="10"/>
      <c r="D78" s="10"/>
      <c r="E78" s="10"/>
      <c r="F78" s="9"/>
    </row>
    <row r="79" spans="1:6" x14ac:dyDescent="0.45">
      <c r="A79" s="9"/>
      <c r="B79" s="9"/>
      <c r="C79" s="10"/>
      <c r="D79" s="10"/>
      <c r="E79" s="10"/>
      <c r="F79" s="9"/>
    </row>
    <row r="80" spans="1:6" x14ac:dyDescent="0.45">
      <c r="A80" s="9"/>
      <c r="B80" s="9"/>
      <c r="C80" s="10"/>
      <c r="D80" s="10"/>
      <c r="E80" s="10"/>
      <c r="F80" s="9"/>
    </row>
    <row r="81" spans="1:6" x14ac:dyDescent="0.45">
      <c r="A81" s="9"/>
      <c r="B81" s="9"/>
      <c r="C81" s="10"/>
      <c r="D81" s="10"/>
      <c r="E81" s="10"/>
      <c r="F81" s="9"/>
    </row>
    <row r="82" spans="1:6" x14ac:dyDescent="0.45">
      <c r="A82" s="9"/>
      <c r="B82" s="9"/>
      <c r="C82" s="10"/>
      <c r="D82" s="10"/>
      <c r="E82" s="10"/>
      <c r="F82" s="9"/>
    </row>
    <row r="83" spans="1:6" x14ac:dyDescent="0.45">
      <c r="A83" s="9"/>
      <c r="B83" s="9"/>
      <c r="C83" s="10"/>
      <c r="D83" s="10"/>
      <c r="E83" s="10"/>
      <c r="F83" s="9"/>
    </row>
    <row r="84" spans="1:6" x14ac:dyDescent="0.45">
      <c r="A84" s="9"/>
      <c r="B84" s="9"/>
      <c r="C84" s="10"/>
      <c r="D84" s="10"/>
      <c r="E84" s="10"/>
      <c r="F84" s="9"/>
    </row>
    <row r="85" spans="1:6" x14ac:dyDescent="0.45">
      <c r="A85" s="9"/>
      <c r="B85" s="9"/>
      <c r="C85" s="10"/>
      <c r="D85" s="10"/>
      <c r="E85" s="10"/>
      <c r="F85" s="9"/>
    </row>
    <row r="86" spans="1:6" x14ac:dyDescent="0.45">
      <c r="A86" s="9"/>
      <c r="B86" s="9"/>
      <c r="C86" s="10"/>
      <c r="D86" s="10"/>
      <c r="E86" s="10"/>
      <c r="F86" s="9"/>
    </row>
    <row r="87" spans="1:6" x14ac:dyDescent="0.45">
      <c r="A87" s="9"/>
      <c r="B87" s="9"/>
      <c r="C87" s="10"/>
      <c r="D87" s="10"/>
      <c r="E87" s="10"/>
      <c r="F87" s="9"/>
    </row>
    <row r="88" spans="1:6" x14ac:dyDescent="0.45">
      <c r="A88" s="9"/>
      <c r="B88" s="9"/>
      <c r="C88" s="10"/>
      <c r="D88" s="10"/>
      <c r="E88" s="10"/>
      <c r="F88" s="9"/>
    </row>
    <row r="89" spans="1:6" x14ac:dyDescent="0.45">
      <c r="A89" s="9"/>
      <c r="B89" s="9"/>
      <c r="C89" s="10"/>
      <c r="D89" s="10"/>
      <c r="E89" s="10"/>
      <c r="F89" s="9"/>
    </row>
    <row r="90" spans="1:6" x14ac:dyDescent="0.45">
      <c r="A90" s="9"/>
      <c r="B90" s="9"/>
      <c r="C90" s="10"/>
      <c r="D90" s="10"/>
      <c r="E90" s="10"/>
      <c r="F90" s="9"/>
    </row>
    <row r="91" spans="1:6" x14ac:dyDescent="0.45">
      <c r="A91" s="9"/>
      <c r="B91" s="9"/>
      <c r="C91" s="10"/>
      <c r="D91" s="10"/>
      <c r="E91" s="10"/>
      <c r="F91" s="9"/>
    </row>
    <row r="92" spans="1:6" x14ac:dyDescent="0.45">
      <c r="A92" s="9"/>
      <c r="B92" s="9"/>
      <c r="C92" s="10"/>
      <c r="D92" s="10"/>
      <c r="E92" s="10"/>
      <c r="F92" s="9"/>
    </row>
    <row r="93" spans="1:6" x14ac:dyDescent="0.45">
      <c r="A93" s="9"/>
      <c r="B93" s="9"/>
      <c r="C93" s="10"/>
      <c r="D93" s="10"/>
      <c r="E93" s="10"/>
      <c r="F93" s="9"/>
    </row>
    <row r="94" spans="1:6" x14ac:dyDescent="0.45">
      <c r="A94" s="9"/>
      <c r="B94" s="9"/>
      <c r="C94" s="10"/>
      <c r="D94" s="10"/>
      <c r="E94" s="10"/>
      <c r="F94" s="9"/>
    </row>
    <row r="95" spans="1:6" x14ac:dyDescent="0.45">
      <c r="A95" s="9"/>
      <c r="B95" s="9"/>
      <c r="C95" s="10"/>
      <c r="D95" s="10"/>
      <c r="E95" s="10"/>
      <c r="F95" s="9"/>
    </row>
    <row r="96" spans="1:6" x14ac:dyDescent="0.45">
      <c r="A96" s="9"/>
      <c r="B96" s="9"/>
      <c r="C96" s="10"/>
      <c r="D96" s="10"/>
      <c r="E96" s="10"/>
      <c r="F96" s="9"/>
    </row>
    <row r="97" spans="1:6" x14ac:dyDescent="0.45">
      <c r="A97" s="9"/>
      <c r="B97" s="9"/>
      <c r="C97" s="10"/>
      <c r="D97" s="10"/>
      <c r="E97" s="10"/>
      <c r="F97" s="9"/>
    </row>
    <row r="98" spans="1:6" x14ac:dyDescent="0.45">
      <c r="A98" s="9"/>
      <c r="B98" s="9"/>
      <c r="C98" s="10"/>
      <c r="D98" s="10"/>
      <c r="E98" s="10"/>
      <c r="F98" s="9"/>
    </row>
    <row r="99" spans="1:6" x14ac:dyDescent="0.45">
      <c r="A99" s="9"/>
      <c r="B99" s="9"/>
      <c r="C99" s="10"/>
      <c r="D99" s="10"/>
      <c r="E99" s="10"/>
      <c r="F99" s="9"/>
    </row>
    <row r="100" spans="1:6" x14ac:dyDescent="0.45">
      <c r="A100" s="9"/>
      <c r="B100" s="9"/>
      <c r="C100" s="10"/>
      <c r="D100" s="10"/>
      <c r="E100" s="10"/>
      <c r="F100" s="9"/>
    </row>
    <row r="101" spans="1:6" x14ac:dyDescent="0.45">
      <c r="A101" s="9"/>
      <c r="B101" s="9"/>
      <c r="C101" s="10"/>
      <c r="D101" s="10"/>
      <c r="E101" s="10"/>
      <c r="F101" s="9"/>
    </row>
    <row r="102">
      <c r="A102" t="s" s="0">
        <v>230</v>
      </c>
      <c r="B102" t="n" s="0">
        <v>20000.0</v>
      </c>
    </row>
  </sheetData>
  <dataValidations count="1">
    <dataValidation type="list" allowBlank="1" sqref="D2:D200 F2:F200 G2:G200" xr:uid="{00000000-0002-0000-0200-000000000000}">
      <formula1>"SI,NO"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/>
  </sheetViews>
  <sheetFormatPr baseColWidth="10" defaultColWidth="9.06640625" defaultRowHeight="14.25" x14ac:dyDescent="0.45"/>
  <cols>
    <col min="1" max="1" customWidth="true" width="12.0"/>
    <col min="2" max="2" customWidth="true" width="28.0"/>
    <col min="3" max="3" customWidth="true" width="20.0"/>
    <col min="4" max="5" customWidth="true" width="16.0"/>
    <col min="6" max="6" customWidth="true" width="14.0"/>
    <col min="7" max="7" customWidth="true" width="10.0"/>
  </cols>
  <sheetData>
    <row r="1" spans="1:7" x14ac:dyDescent="0.45">
      <c r="A1" s="3" t="s">
        <v>111</v>
      </c>
      <c r="B1" s="3" t="s">
        <v>112</v>
      </c>
      <c r="C1" s="3" t="s">
        <v>113</v>
      </c>
      <c r="D1" s="3" t="s">
        <v>114</v>
      </c>
      <c r="E1" s="3" t="s">
        <v>115</v>
      </c>
      <c r="F1" s="3" t="s">
        <v>116</v>
      </c>
      <c r="G1" s="3" t="s">
        <v>103</v>
      </c>
    </row>
    <row r="2" spans="1:7" x14ac:dyDescent="0.45">
      <c r="A2" s="5" t="s">
        <v>117</v>
      </c>
      <c r="B2" s="5" t="s">
        <v>118</v>
      </c>
      <c r="C2" s="5" t="s">
        <v>119</v>
      </c>
      <c r="D2" s="5" t="s">
        <v>120</v>
      </c>
      <c r="E2" s="5" t="s">
        <v>121</v>
      </c>
      <c r="F2" s="7">
        <v>40</v>
      </c>
      <c r="G2" s="5" t="s">
        <v>59</v>
      </c>
    </row>
    <row r="3" spans="1:7" x14ac:dyDescent="0.45">
      <c r="A3" s="5" t="s">
        <v>122</v>
      </c>
      <c r="B3" s="5" t="s">
        <v>123</v>
      </c>
      <c r="C3" s="5" t="s">
        <v>124</v>
      </c>
      <c r="D3" s="5" t="s">
        <v>120</v>
      </c>
      <c r="E3" s="5" t="s">
        <v>125</v>
      </c>
      <c r="F3" s="7">
        <v>40</v>
      </c>
      <c r="G3" s="5" t="s">
        <v>59</v>
      </c>
    </row>
    <row r="4" spans="1:7" x14ac:dyDescent="0.45">
      <c r="A4" s="5" t="s">
        <v>126</v>
      </c>
      <c r="B4" s="5" t="s">
        <v>127</v>
      </c>
      <c r="C4" s="5" t="s">
        <v>128</v>
      </c>
      <c r="D4" s="5" t="s">
        <v>129</v>
      </c>
      <c r="E4" s="5" t="s">
        <v>130</v>
      </c>
      <c r="F4" s="7">
        <v>48</v>
      </c>
      <c r="G4" s="5" t="s">
        <v>59</v>
      </c>
    </row>
    <row r="5" spans="1:7" x14ac:dyDescent="0.45">
      <c r="A5" s="5" t="s">
        <v>131</v>
      </c>
      <c r="B5" s="5" t="s">
        <v>132</v>
      </c>
      <c r="C5" s="5" t="s">
        <v>132</v>
      </c>
      <c r="D5" s="5" t="s">
        <v>133</v>
      </c>
      <c r="E5" s="5" t="s">
        <v>134</v>
      </c>
      <c r="F5" s="7">
        <v>45</v>
      </c>
      <c r="G5" s="5" t="s">
        <v>59</v>
      </c>
    </row>
    <row r="6" spans="1:7" x14ac:dyDescent="0.45">
      <c r="A6" s="9"/>
      <c r="B6" s="9"/>
      <c r="C6" s="9"/>
      <c r="D6" s="9"/>
      <c r="E6" s="9"/>
      <c r="F6" s="9"/>
      <c r="G6" s="9"/>
    </row>
    <row r="7" spans="1:7" x14ac:dyDescent="0.45">
      <c r="A7" s="9"/>
      <c r="B7" s="9"/>
      <c r="C7" s="9"/>
      <c r="D7" s="9"/>
      <c r="E7" s="9"/>
      <c r="F7" s="9"/>
      <c r="G7" s="9"/>
    </row>
    <row r="8" spans="1:7" x14ac:dyDescent="0.45">
      <c r="A8" s="9"/>
      <c r="B8" s="9"/>
      <c r="C8" s="9"/>
      <c r="D8" s="9"/>
      <c r="E8" s="9"/>
      <c r="F8" s="9"/>
      <c r="G8" s="9"/>
    </row>
    <row r="9" spans="1:7" x14ac:dyDescent="0.45">
      <c r="A9" s="9"/>
      <c r="B9" s="9"/>
      <c r="C9" s="9"/>
      <c r="D9" s="9"/>
      <c r="E9" s="9"/>
      <c r="F9" s="9"/>
      <c r="G9" s="9"/>
    </row>
    <row r="10" spans="1:7" x14ac:dyDescent="0.45">
      <c r="A10" s="9"/>
      <c r="B10" s="9"/>
      <c r="C10" s="9"/>
      <c r="D10" s="9"/>
      <c r="E10" s="9"/>
      <c r="F10" s="9"/>
      <c r="G10" s="9"/>
    </row>
    <row r="11" spans="1:7" x14ac:dyDescent="0.45">
      <c r="A11" s="9"/>
      <c r="B11" s="9"/>
      <c r="C11" s="9"/>
      <c r="D11" s="9"/>
      <c r="E11" s="9"/>
      <c r="F11" s="9"/>
      <c r="G11" s="9"/>
    </row>
    <row r="12" spans="1:7" x14ac:dyDescent="0.45">
      <c r="A12" s="9"/>
      <c r="B12" s="9"/>
      <c r="C12" s="9"/>
      <c r="D12" s="9"/>
      <c r="E12" s="9"/>
      <c r="F12" s="9"/>
      <c r="G12" s="9"/>
    </row>
    <row r="13" spans="1:7" x14ac:dyDescent="0.45">
      <c r="A13" s="9"/>
      <c r="B13" s="9"/>
      <c r="C13" s="9"/>
      <c r="D13" s="9"/>
      <c r="E13" s="9"/>
      <c r="F13" s="9"/>
      <c r="G13" s="9"/>
    </row>
    <row r="14" spans="1:7" x14ac:dyDescent="0.45">
      <c r="A14" s="9"/>
      <c r="B14" s="9"/>
      <c r="C14" s="9"/>
      <c r="D14" s="9"/>
      <c r="E14" s="9"/>
      <c r="F14" s="9"/>
      <c r="G14" s="9"/>
    </row>
    <row r="15" spans="1:7" x14ac:dyDescent="0.45">
      <c r="A15" s="9"/>
      <c r="B15" s="9"/>
      <c r="C15" s="9"/>
      <c r="D15" s="9"/>
      <c r="E15" s="9"/>
      <c r="F15" s="9"/>
      <c r="G15" s="9"/>
    </row>
    <row r="16" spans="1:7" x14ac:dyDescent="0.45">
      <c r="A16" s="9"/>
      <c r="B16" s="9"/>
      <c r="C16" s="9"/>
      <c r="D16" s="9"/>
      <c r="E16" s="9"/>
      <c r="F16" s="9"/>
      <c r="G16" s="9"/>
    </row>
    <row r="17" spans="1:7" x14ac:dyDescent="0.45">
      <c r="A17" s="9"/>
      <c r="B17" s="9"/>
      <c r="C17" s="9"/>
      <c r="D17" s="9"/>
      <c r="E17" s="9"/>
      <c r="F17" s="9"/>
      <c r="G17" s="9"/>
    </row>
    <row r="18" spans="1:7" x14ac:dyDescent="0.45">
      <c r="A18" s="9"/>
      <c r="B18" s="9"/>
      <c r="C18" s="9"/>
      <c r="D18" s="9"/>
      <c r="E18" s="9"/>
      <c r="F18" s="9"/>
      <c r="G18" s="9"/>
    </row>
    <row r="19" spans="1:7" x14ac:dyDescent="0.45">
      <c r="A19" s="9"/>
      <c r="B19" s="9"/>
      <c r="C19" s="9"/>
      <c r="D19" s="9"/>
      <c r="E19" s="9"/>
      <c r="F19" s="9"/>
      <c r="G19" s="9"/>
    </row>
    <row r="20" spans="1:7" x14ac:dyDescent="0.45">
      <c r="A20" s="9"/>
      <c r="B20" s="9"/>
      <c r="C20" s="9"/>
      <c r="D20" s="9"/>
      <c r="E20" s="9"/>
      <c r="F20" s="9"/>
      <c r="G20" s="9"/>
    </row>
    <row r="21" spans="1:7" x14ac:dyDescent="0.45">
      <c r="A21" s="9"/>
      <c r="B21" s="9"/>
      <c r="C21" s="9"/>
      <c r="D21" s="9"/>
      <c r="E21" s="9"/>
      <c r="F21" s="9"/>
      <c r="G21" s="9"/>
    </row>
    <row r="22" spans="1:7" x14ac:dyDescent="0.45">
      <c r="A22" s="9"/>
      <c r="B22" s="9"/>
      <c r="C22" s="9"/>
      <c r="D22" s="9"/>
      <c r="E22" s="9"/>
      <c r="F22" s="9"/>
      <c r="G22" s="9"/>
    </row>
    <row r="23" spans="1:7" x14ac:dyDescent="0.45">
      <c r="A23" s="9"/>
      <c r="B23" s="9"/>
      <c r="C23" s="9"/>
      <c r="D23" s="9"/>
      <c r="E23" s="9"/>
      <c r="F23" s="9"/>
      <c r="G23" s="9"/>
    </row>
    <row r="24" spans="1:7" x14ac:dyDescent="0.45">
      <c r="A24" s="9"/>
      <c r="B24" s="9"/>
      <c r="C24" s="9"/>
      <c r="D24" s="9"/>
      <c r="E24" s="9"/>
      <c r="F24" s="9"/>
      <c r="G24" s="9"/>
    </row>
    <row r="25" spans="1:7" x14ac:dyDescent="0.45">
      <c r="A25" s="9"/>
      <c r="B25" s="9"/>
      <c r="C25" s="9"/>
      <c r="D25" s="9"/>
      <c r="E25" s="9"/>
      <c r="F25" s="9"/>
      <c r="G25" s="9"/>
    </row>
    <row r="26" spans="1:7" x14ac:dyDescent="0.45">
      <c r="A26" s="9"/>
      <c r="B26" s="9"/>
      <c r="C26" s="9"/>
      <c r="D26" s="9"/>
      <c r="E26" s="9"/>
      <c r="F26" s="9"/>
      <c r="G26" s="9"/>
    </row>
    <row r="27" spans="1:7" x14ac:dyDescent="0.45">
      <c r="A27" s="9"/>
      <c r="B27" s="9"/>
      <c r="C27" s="9"/>
      <c r="D27" s="9"/>
      <c r="E27" s="9"/>
      <c r="F27" s="9"/>
      <c r="G27" s="9"/>
    </row>
    <row r="28" spans="1:7" x14ac:dyDescent="0.45">
      <c r="A28" s="9"/>
      <c r="B28" s="9"/>
      <c r="C28" s="9"/>
      <c r="D28" s="9"/>
      <c r="E28" s="9"/>
      <c r="F28" s="9"/>
      <c r="G28" s="9"/>
    </row>
    <row r="29" spans="1:7" x14ac:dyDescent="0.45">
      <c r="A29" s="9"/>
      <c r="B29" s="9"/>
      <c r="C29" s="9"/>
      <c r="D29" s="9"/>
      <c r="E29" s="9"/>
      <c r="F29" s="9"/>
      <c r="G29" s="9"/>
    </row>
    <row r="30" spans="1:7" x14ac:dyDescent="0.45">
      <c r="A30" s="9"/>
      <c r="B30" s="9"/>
      <c r="C30" s="9"/>
      <c r="D30" s="9"/>
      <c r="E30" s="9"/>
      <c r="F30" s="9"/>
      <c r="G30" s="9"/>
    </row>
    <row r="31" spans="1:7" x14ac:dyDescent="0.45">
      <c r="A31" s="9"/>
      <c r="B31" s="9"/>
      <c r="C31" s="9"/>
      <c r="D31" s="9"/>
      <c r="E31" s="9"/>
      <c r="F31" s="9"/>
      <c r="G31" s="9"/>
    </row>
    <row r="32" spans="1:7" x14ac:dyDescent="0.45">
      <c r="A32" s="9"/>
      <c r="B32" s="9"/>
      <c r="C32" s="9"/>
      <c r="D32" s="9"/>
      <c r="E32" s="9"/>
      <c r="F32" s="9"/>
      <c r="G32" s="9"/>
    </row>
    <row r="33" spans="1:7" x14ac:dyDescent="0.45">
      <c r="A33" s="9"/>
      <c r="B33" s="9"/>
      <c r="C33" s="9"/>
      <c r="D33" s="9"/>
      <c r="E33" s="9"/>
      <c r="F33" s="9"/>
      <c r="G33" s="9"/>
    </row>
    <row r="34" spans="1:7" x14ac:dyDescent="0.45">
      <c r="A34" s="9"/>
      <c r="B34" s="9"/>
      <c r="C34" s="9"/>
      <c r="D34" s="9"/>
      <c r="E34" s="9"/>
      <c r="F34" s="9"/>
      <c r="G34" s="9"/>
    </row>
    <row r="35" spans="1:7" x14ac:dyDescent="0.45">
      <c r="A35" s="9"/>
      <c r="B35" s="9"/>
      <c r="C35" s="9"/>
      <c r="D35" s="9"/>
      <c r="E35" s="9"/>
      <c r="F35" s="9"/>
      <c r="G35" s="9"/>
    </row>
    <row r="36" spans="1:7" x14ac:dyDescent="0.45">
      <c r="A36" s="9"/>
      <c r="B36" s="9"/>
      <c r="C36" s="9"/>
      <c r="D36" s="9"/>
      <c r="E36" s="9"/>
      <c r="F36" s="9"/>
      <c r="G36" s="9"/>
    </row>
    <row r="37" spans="1:7" x14ac:dyDescent="0.45">
      <c r="A37" s="9"/>
      <c r="B37" s="9"/>
      <c r="C37" s="9"/>
      <c r="D37" s="9"/>
      <c r="E37" s="9"/>
      <c r="F37" s="9"/>
      <c r="G37" s="9"/>
    </row>
    <row r="38" spans="1:7" x14ac:dyDescent="0.45">
      <c r="A38" s="9"/>
      <c r="B38" s="9"/>
      <c r="C38" s="9"/>
      <c r="D38" s="9"/>
      <c r="E38" s="9"/>
      <c r="F38" s="9"/>
      <c r="G38" s="9"/>
    </row>
    <row r="39" spans="1:7" x14ac:dyDescent="0.45">
      <c r="A39" s="9"/>
      <c r="B39" s="9"/>
      <c r="C39" s="9"/>
      <c r="D39" s="9"/>
      <c r="E39" s="9"/>
      <c r="F39" s="9"/>
      <c r="G39" s="9"/>
    </row>
    <row r="40" spans="1:7" x14ac:dyDescent="0.45">
      <c r="A40" s="9"/>
      <c r="B40" s="9"/>
      <c r="C40" s="9"/>
      <c r="D40" s="9"/>
      <c r="E40" s="9"/>
      <c r="F40" s="9"/>
      <c r="G40" s="9"/>
    </row>
    <row r="41" spans="1:7" x14ac:dyDescent="0.45">
      <c r="A41" s="9"/>
      <c r="B41" s="9"/>
      <c r="C41" s="9"/>
      <c r="D41" s="9"/>
      <c r="E41" s="9"/>
      <c r="F41" s="9"/>
      <c r="G41" s="9"/>
    </row>
    <row r="42" spans="1:7" x14ac:dyDescent="0.45">
      <c r="A42" s="9"/>
      <c r="B42" s="9"/>
      <c r="C42" s="9"/>
      <c r="D42" s="9"/>
      <c r="E42" s="9"/>
      <c r="F42" s="9"/>
      <c r="G42" s="9"/>
    </row>
    <row r="43" spans="1:7" x14ac:dyDescent="0.45">
      <c r="A43" s="9"/>
      <c r="B43" s="9"/>
      <c r="C43" s="9"/>
      <c r="D43" s="9"/>
      <c r="E43" s="9"/>
      <c r="F43" s="9"/>
      <c r="G43" s="9"/>
    </row>
    <row r="44" spans="1:7" x14ac:dyDescent="0.45">
      <c r="A44" s="9"/>
      <c r="B44" s="9"/>
      <c r="C44" s="9"/>
      <c r="D44" s="9"/>
      <c r="E44" s="9"/>
      <c r="F44" s="9"/>
      <c r="G44" s="9"/>
    </row>
    <row r="45" spans="1:7" x14ac:dyDescent="0.45">
      <c r="A45" s="9"/>
      <c r="B45" s="9"/>
      <c r="C45" s="9"/>
      <c r="D45" s="9"/>
      <c r="E45" s="9"/>
      <c r="F45" s="9"/>
      <c r="G45" s="9"/>
    </row>
    <row r="46" spans="1:7" x14ac:dyDescent="0.45">
      <c r="A46" s="9"/>
      <c r="B46" s="9"/>
      <c r="C46" s="9"/>
      <c r="D46" s="9"/>
      <c r="E46" s="9"/>
      <c r="F46" s="9"/>
      <c r="G46" s="9"/>
    </row>
    <row r="47" spans="1:7" x14ac:dyDescent="0.45">
      <c r="A47" s="9"/>
      <c r="B47" s="9"/>
      <c r="C47" s="9"/>
      <c r="D47" s="9"/>
      <c r="E47" s="9"/>
      <c r="F47" s="9"/>
      <c r="G47" s="9"/>
    </row>
    <row r="48" spans="1:7" x14ac:dyDescent="0.45">
      <c r="A48" s="9"/>
      <c r="B48" s="9"/>
      <c r="C48" s="9"/>
      <c r="D48" s="9"/>
      <c r="E48" s="9"/>
      <c r="F48" s="9"/>
      <c r="G48" s="9"/>
    </row>
    <row r="49" spans="1:7" x14ac:dyDescent="0.45">
      <c r="A49" s="9"/>
      <c r="B49" s="9"/>
      <c r="C49" s="9"/>
      <c r="D49" s="9"/>
      <c r="E49" s="9"/>
      <c r="F49" s="9"/>
      <c r="G49" s="9"/>
    </row>
    <row r="50" spans="1:7" x14ac:dyDescent="0.45">
      <c r="A50" s="9"/>
      <c r="B50" s="9"/>
      <c r="C50" s="9"/>
      <c r="D50" s="9"/>
      <c r="E50" s="9"/>
      <c r="F50" s="9"/>
      <c r="G50" s="9"/>
    </row>
    <row r="51" spans="1:7" x14ac:dyDescent="0.45">
      <c r="A51" s="9"/>
      <c r="B51" s="9"/>
      <c r="C51" s="9"/>
      <c r="D51" s="9"/>
      <c r="E51" s="9"/>
      <c r="F51" s="9"/>
      <c r="G51" s="9"/>
    </row>
    <row r="52" spans="1:7" x14ac:dyDescent="0.45">
      <c r="A52" s="9"/>
      <c r="B52" s="9"/>
      <c r="C52" s="9"/>
      <c r="D52" s="9"/>
      <c r="E52" s="9"/>
      <c r="F52" s="9"/>
      <c r="G52" s="9"/>
    </row>
    <row r="53" spans="1:7" x14ac:dyDescent="0.45">
      <c r="A53" s="9"/>
      <c r="B53" s="9"/>
      <c r="C53" s="9"/>
      <c r="D53" s="9"/>
      <c r="E53" s="9"/>
      <c r="F53" s="9"/>
      <c r="G53" s="9"/>
    </row>
    <row r="54" spans="1:7" x14ac:dyDescent="0.45">
      <c r="A54" s="9"/>
      <c r="B54" s="9"/>
      <c r="C54" s="9"/>
      <c r="D54" s="9"/>
      <c r="E54" s="9"/>
      <c r="F54" s="9"/>
      <c r="G54" s="9"/>
    </row>
    <row r="55" spans="1:7" x14ac:dyDescent="0.45">
      <c r="A55" s="9"/>
      <c r="B55" s="9"/>
      <c r="C55" s="9"/>
      <c r="D55" s="9"/>
      <c r="E55" s="9"/>
      <c r="F55" s="9"/>
      <c r="G55" s="9"/>
    </row>
    <row r="56" spans="1:7" x14ac:dyDescent="0.45">
      <c r="A56" s="9"/>
      <c r="B56" s="9"/>
      <c r="C56" s="9"/>
      <c r="D56" s="9"/>
      <c r="E56" s="9"/>
      <c r="F56" s="9"/>
      <c r="G56" s="9"/>
    </row>
    <row r="57" spans="1:7" x14ac:dyDescent="0.45">
      <c r="A57" s="9"/>
      <c r="B57" s="9"/>
      <c r="C57" s="9"/>
      <c r="D57" s="9"/>
      <c r="E57" s="9"/>
      <c r="F57" s="9"/>
      <c r="G57" s="9"/>
    </row>
    <row r="58" spans="1:7" x14ac:dyDescent="0.45">
      <c r="A58" s="9"/>
      <c r="B58" s="9"/>
      <c r="C58" s="9"/>
      <c r="D58" s="9"/>
      <c r="E58" s="9"/>
      <c r="F58" s="9"/>
      <c r="G58" s="9"/>
    </row>
    <row r="59" spans="1:7" x14ac:dyDescent="0.45">
      <c r="A59" s="9"/>
      <c r="B59" s="9"/>
      <c r="C59" s="9"/>
      <c r="D59" s="9"/>
      <c r="E59" s="9"/>
      <c r="F59" s="9"/>
      <c r="G59" s="9"/>
    </row>
    <row r="60" spans="1:7" x14ac:dyDescent="0.45">
      <c r="A60" s="9"/>
      <c r="B60" s="9"/>
      <c r="C60" s="9"/>
      <c r="D60" s="9"/>
      <c r="E60" s="9"/>
      <c r="F60" s="9"/>
      <c r="G60" s="9"/>
    </row>
    <row r="61" spans="1:7" x14ac:dyDescent="0.45">
      <c r="A61" s="9"/>
      <c r="B61" s="9"/>
      <c r="C61" s="9"/>
      <c r="D61" s="9"/>
      <c r="E61" s="9"/>
      <c r="F61" s="9"/>
      <c r="G61" s="9"/>
    </row>
    <row r="62" spans="1:7" x14ac:dyDescent="0.45">
      <c r="A62" s="9"/>
      <c r="B62" s="9"/>
      <c r="C62" s="9"/>
      <c r="D62" s="9"/>
      <c r="E62" s="9"/>
      <c r="F62" s="9"/>
      <c r="G62" s="9"/>
    </row>
    <row r="63" spans="1:7" x14ac:dyDescent="0.45">
      <c r="A63" s="9"/>
      <c r="B63" s="9"/>
      <c r="C63" s="9"/>
      <c r="D63" s="9"/>
      <c r="E63" s="9"/>
      <c r="F63" s="9"/>
      <c r="G63" s="9"/>
    </row>
    <row r="64" spans="1:7" x14ac:dyDescent="0.45">
      <c r="A64" s="9"/>
      <c r="B64" s="9"/>
      <c r="C64" s="9"/>
      <c r="D64" s="9"/>
      <c r="E64" s="9"/>
      <c r="F64" s="9"/>
      <c r="G64" s="9"/>
    </row>
    <row r="65" spans="1:7" x14ac:dyDescent="0.45">
      <c r="A65" s="9"/>
      <c r="B65" s="9"/>
      <c r="C65" s="9"/>
      <c r="D65" s="9"/>
      <c r="E65" s="9"/>
      <c r="F65" s="9"/>
      <c r="G65" s="9"/>
    </row>
    <row r="66" spans="1:7" x14ac:dyDescent="0.45">
      <c r="A66" s="9"/>
      <c r="B66" s="9"/>
      <c r="C66" s="9"/>
      <c r="D66" s="9"/>
      <c r="E66" s="9"/>
      <c r="F66" s="9"/>
      <c r="G66" s="9"/>
    </row>
    <row r="67" spans="1:7" x14ac:dyDescent="0.45">
      <c r="A67" s="9"/>
      <c r="B67" s="9"/>
      <c r="C67" s="9"/>
      <c r="D67" s="9"/>
      <c r="E67" s="9"/>
      <c r="F67" s="9"/>
      <c r="G67" s="9"/>
    </row>
    <row r="68" spans="1:7" x14ac:dyDescent="0.45">
      <c r="A68" s="9"/>
      <c r="B68" s="9"/>
      <c r="C68" s="9"/>
      <c r="D68" s="9"/>
      <c r="E68" s="9"/>
      <c r="F68" s="9"/>
      <c r="G68" s="9"/>
    </row>
    <row r="69" spans="1:7" x14ac:dyDescent="0.45">
      <c r="A69" s="9"/>
      <c r="B69" s="9"/>
      <c r="C69" s="9"/>
      <c r="D69" s="9"/>
      <c r="E69" s="9"/>
      <c r="F69" s="9"/>
      <c r="G69" s="9"/>
    </row>
    <row r="70" spans="1:7" x14ac:dyDescent="0.45">
      <c r="A70" s="9"/>
      <c r="B70" s="9"/>
      <c r="C70" s="9"/>
      <c r="D70" s="9"/>
      <c r="E70" s="9"/>
      <c r="F70" s="9"/>
      <c r="G70" s="9"/>
    </row>
    <row r="71" spans="1:7" x14ac:dyDescent="0.45">
      <c r="A71" s="9"/>
      <c r="B71" s="9"/>
      <c r="C71" s="9"/>
      <c r="D71" s="9"/>
      <c r="E71" s="9"/>
      <c r="F71" s="9"/>
      <c r="G71" s="9"/>
    </row>
    <row r="72" spans="1:7" x14ac:dyDescent="0.45">
      <c r="A72" s="9"/>
      <c r="B72" s="9"/>
      <c r="C72" s="9"/>
      <c r="D72" s="9"/>
      <c r="E72" s="9"/>
      <c r="F72" s="9"/>
      <c r="G72" s="9"/>
    </row>
    <row r="73" spans="1:7" x14ac:dyDescent="0.45">
      <c r="A73" s="9"/>
      <c r="B73" s="9"/>
      <c r="C73" s="9"/>
      <c r="D73" s="9"/>
      <c r="E73" s="9"/>
      <c r="F73" s="9"/>
      <c r="G73" s="9"/>
    </row>
    <row r="74" spans="1:7" x14ac:dyDescent="0.45">
      <c r="A74" s="9"/>
      <c r="B74" s="9"/>
      <c r="C74" s="9"/>
      <c r="D74" s="9"/>
      <c r="E74" s="9"/>
      <c r="F74" s="9"/>
      <c r="G74" s="9"/>
    </row>
    <row r="75" spans="1:7" x14ac:dyDescent="0.45">
      <c r="A75" s="9"/>
      <c r="B75" s="9"/>
      <c r="C75" s="9"/>
      <c r="D75" s="9"/>
      <c r="E75" s="9"/>
      <c r="F75" s="9"/>
      <c r="G75" s="9"/>
    </row>
    <row r="76" spans="1:7" x14ac:dyDescent="0.45">
      <c r="A76" s="9"/>
      <c r="B76" s="9"/>
      <c r="C76" s="9"/>
      <c r="D76" s="9"/>
      <c r="E76" s="9"/>
      <c r="F76" s="9"/>
      <c r="G76" s="9"/>
    </row>
    <row r="77" spans="1:7" x14ac:dyDescent="0.45">
      <c r="A77" s="9"/>
      <c r="B77" s="9"/>
      <c r="C77" s="9"/>
      <c r="D77" s="9"/>
      <c r="E77" s="9"/>
      <c r="F77" s="9"/>
      <c r="G77" s="9"/>
    </row>
    <row r="78" spans="1:7" x14ac:dyDescent="0.45">
      <c r="A78" s="9"/>
      <c r="B78" s="9"/>
      <c r="C78" s="9"/>
      <c r="D78" s="9"/>
      <c r="E78" s="9"/>
      <c r="F78" s="9"/>
      <c r="G78" s="9"/>
    </row>
    <row r="79" spans="1:7" x14ac:dyDescent="0.45">
      <c r="A79" s="9"/>
      <c r="B79" s="9"/>
      <c r="C79" s="9"/>
      <c r="D79" s="9"/>
      <c r="E79" s="9"/>
      <c r="F79" s="9"/>
      <c r="G79" s="9"/>
    </row>
    <row r="80" spans="1:7" x14ac:dyDescent="0.45">
      <c r="A80" s="9"/>
      <c r="B80" s="9"/>
      <c r="C80" s="9"/>
      <c r="D80" s="9"/>
      <c r="E80" s="9"/>
      <c r="F80" s="9"/>
      <c r="G80" s="9"/>
    </row>
    <row r="81" spans="1:7" x14ac:dyDescent="0.45">
      <c r="A81" s="9"/>
      <c r="B81" s="9"/>
      <c r="C81" s="9"/>
      <c r="D81" s="9"/>
      <c r="E81" s="9"/>
      <c r="F81" s="9"/>
      <c r="G81" s="9"/>
    </row>
    <row r="82" spans="1:7" x14ac:dyDescent="0.45">
      <c r="A82" s="9"/>
      <c r="B82" s="9"/>
      <c r="C82" s="9"/>
      <c r="D82" s="9"/>
      <c r="E82" s="9"/>
      <c r="F82" s="9"/>
      <c r="G82" s="9"/>
    </row>
    <row r="83" spans="1:7" x14ac:dyDescent="0.45">
      <c r="A83" s="9"/>
      <c r="B83" s="9"/>
      <c r="C83" s="9"/>
      <c r="D83" s="9"/>
      <c r="E83" s="9"/>
      <c r="F83" s="9"/>
      <c r="G83" s="9"/>
    </row>
    <row r="84" spans="1:7" x14ac:dyDescent="0.45">
      <c r="A84" s="9"/>
      <c r="B84" s="9"/>
      <c r="C84" s="9"/>
      <c r="D84" s="9"/>
      <c r="E84" s="9"/>
      <c r="F84" s="9"/>
      <c r="G84" s="9"/>
    </row>
    <row r="85" spans="1:7" x14ac:dyDescent="0.45">
      <c r="A85" s="9"/>
      <c r="B85" s="9"/>
      <c r="C85" s="9"/>
      <c r="D85" s="9"/>
      <c r="E85" s="9"/>
      <c r="F85" s="9"/>
      <c r="G85" s="9"/>
    </row>
    <row r="86" spans="1:7" x14ac:dyDescent="0.45">
      <c r="A86" s="9"/>
      <c r="B86" s="9"/>
      <c r="C86" s="9"/>
      <c r="D86" s="9"/>
      <c r="E86" s="9"/>
      <c r="F86" s="9"/>
      <c r="G86" s="9"/>
    </row>
    <row r="87" spans="1:7" x14ac:dyDescent="0.45">
      <c r="A87" s="9"/>
      <c r="B87" s="9"/>
      <c r="C87" s="9"/>
      <c r="D87" s="9"/>
      <c r="E87" s="9"/>
      <c r="F87" s="9"/>
      <c r="G87" s="9"/>
    </row>
    <row r="88" spans="1:7" x14ac:dyDescent="0.45">
      <c r="A88" s="9"/>
      <c r="B88" s="9"/>
      <c r="C88" s="9"/>
      <c r="D88" s="9"/>
      <c r="E88" s="9"/>
      <c r="F88" s="9"/>
      <c r="G88" s="9"/>
    </row>
    <row r="89" spans="1:7" x14ac:dyDescent="0.45">
      <c r="A89" s="9"/>
      <c r="B89" s="9"/>
      <c r="C89" s="9"/>
      <c r="D89" s="9"/>
      <c r="E89" s="9"/>
      <c r="F89" s="9"/>
      <c r="G89" s="9"/>
    </row>
    <row r="90" spans="1:7" x14ac:dyDescent="0.45">
      <c r="A90" s="9"/>
      <c r="B90" s="9"/>
      <c r="C90" s="9"/>
      <c r="D90" s="9"/>
      <c r="E90" s="9"/>
      <c r="F90" s="9"/>
      <c r="G90" s="9"/>
    </row>
    <row r="91" spans="1:7" x14ac:dyDescent="0.45">
      <c r="A91" s="9"/>
      <c r="B91" s="9"/>
      <c r="C91" s="9"/>
      <c r="D91" s="9"/>
      <c r="E91" s="9"/>
      <c r="F91" s="9"/>
      <c r="G91" s="9"/>
    </row>
    <row r="92" spans="1:7" x14ac:dyDescent="0.45">
      <c r="A92" s="9"/>
      <c r="B92" s="9"/>
      <c r="C92" s="9"/>
      <c r="D92" s="9"/>
      <c r="E92" s="9"/>
      <c r="F92" s="9"/>
      <c r="G92" s="9"/>
    </row>
    <row r="93" spans="1:7" x14ac:dyDescent="0.45">
      <c r="A93" s="9"/>
      <c r="B93" s="9"/>
      <c r="C93" s="9"/>
      <c r="D93" s="9"/>
      <c r="E93" s="9"/>
      <c r="F93" s="9"/>
      <c r="G93" s="9"/>
    </row>
    <row r="94" spans="1:7" x14ac:dyDescent="0.45">
      <c r="A94" s="9"/>
      <c r="B94" s="9"/>
      <c r="C94" s="9"/>
      <c r="D94" s="9"/>
      <c r="E94" s="9"/>
      <c r="F94" s="9"/>
      <c r="G94" s="9"/>
    </row>
    <row r="95" spans="1:7" x14ac:dyDescent="0.45">
      <c r="A95" s="9"/>
      <c r="B95" s="9"/>
      <c r="C95" s="9"/>
      <c r="D95" s="9"/>
      <c r="E95" s="9"/>
      <c r="F95" s="9"/>
      <c r="G95" s="9"/>
    </row>
    <row r="96" spans="1:7" x14ac:dyDescent="0.45">
      <c r="A96" s="9"/>
      <c r="B96" s="9"/>
      <c r="C96" s="9"/>
      <c r="D96" s="9"/>
      <c r="E96" s="9"/>
      <c r="F96" s="9"/>
      <c r="G96" s="9"/>
    </row>
    <row r="97" spans="1:7" x14ac:dyDescent="0.45">
      <c r="A97" s="9"/>
      <c r="B97" s="9"/>
      <c r="C97" s="9"/>
      <c r="D97" s="9"/>
      <c r="E97" s="9"/>
      <c r="F97" s="9"/>
      <c r="G97" s="9"/>
    </row>
    <row r="98" spans="1:7" x14ac:dyDescent="0.45">
      <c r="A98" s="9"/>
      <c r="B98" s="9"/>
      <c r="C98" s="9"/>
      <c r="D98" s="9"/>
      <c r="E98" s="9"/>
      <c r="F98" s="9"/>
      <c r="G98" s="9"/>
    </row>
    <row r="99" spans="1:7" x14ac:dyDescent="0.45">
      <c r="A99" s="9"/>
      <c r="B99" s="9"/>
      <c r="C99" s="9"/>
      <c r="D99" s="9"/>
      <c r="E99" s="9"/>
      <c r="F99" s="9"/>
      <c r="G99" s="9"/>
    </row>
    <row r="100" spans="1:7" x14ac:dyDescent="0.45">
      <c r="A100" s="9"/>
      <c r="B100" s="9"/>
      <c r="C100" s="9"/>
      <c r="D100" s="9"/>
      <c r="E100" s="9"/>
      <c r="F100" s="9"/>
      <c r="G100" s="9"/>
    </row>
    <row r="101" spans="1:7" x14ac:dyDescent="0.45">
      <c r="A101" s="9"/>
      <c r="B101" s="9"/>
      <c r="C101" s="9"/>
      <c r="D101" s="9"/>
      <c r="E101" s="9"/>
      <c r="F101" s="9"/>
      <c r="G101" s="9"/>
    </row>
  </sheetData>
  <dataValidations count="1">
    <dataValidation type="list" allowBlank="1" sqref="D2:D200 F2:F200 G2:G200" xr:uid="{00000000-0002-0000-0300-000000000000}">
      <formula1>"SI,NO"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workbookViewId="0"/>
  </sheetViews>
  <sheetFormatPr baseColWidth="10" defaultColWidth="9.06640625" defaultRowHeight="14.25" x14ac:dyDescent="0.45"/>
  <cols>
    <col min="1" max="1" customWidth="true" width="16.0"/>
    <col min="2" max="2" customWidth="true" width="28.0"/>
    <col min="3" max="3" customWidth="true" width="12.0"/>
    <col min="4" max="5" customWidth="true" width="16.0"/>
    <col min="6" max="6" customWidth="true" width="12.0"/>
  </cols>
  <sheetData>
    <row r="1" spans="1:6" x14ac:dyDescent="0.45">
      <c r="A1" s="3" t="s">
        <v>135</v>
      </c>
      <c r="B1" s="3" t="s">
        <v>136</v>
      </c>
      <c r="C1" s="3" t="s">
        <v>137</v>
      </c>
      <c r="D1" s="3" t="s">
        <v>138</v>
      </c>
      <c r="E1" s="3" t="s">
        <v>139</v>
      </c>
      <c r="F1" s="3" t="s">
        <v>140</v>
      </c>
    </row>
    <row r="2" spans="1:6" x14ac:dyDescent="0.45">
      <c r="A2" s="5" t="s">
        <v>141</v>
      </c>
      <c r="B2" s="5" t="s">
        <v>142</v>
      </c>
      <c r="C2" s="5" t="s">
        <v>143</v>
      </c>
      <c r="D2" s="5" t="s">
        <v>59</v>
      </c>
      <c r="E2" s="8">
        <v>1000</v>
      </c>
      <c r="F2" s="5" t="s">
        <v>144</v>
      </c>
    </row>
    <row r="3" spans="1:6" x14ac:dyDescent="0.45">
      <c r="A3" s="5" t="s">
        <v>145</v>
      </c>
      <c r="B3" s="5" t="s">
        <v>146</v>
      </c>
      <c r="C3" s="5" t="s">
        <v>143</v>
      </c>
      <c r="D3" s="5" t="s">
        <v>59</v>
      </c>
      <c r="E3" s="8">
        <v>500</v>
      </c>
      <c r="F3" s="5" t="s">
        <v>59</v>
      </c>
    </row>
    <row r="4" spans="1:6" x14ac:dyDescent="0.45">
      <c r="A4" s="5" t="s">
        <v>147</v>
      </c>
      <c r="B4" s="5" t="s">
        <v>148</v>
      </c>
      <c r="C4" s="5" t="s">
        <v>149</v>
      </c>
      <c r="D4" s="5" t="s">
        <v>144</v>
      </c>
      <c r="E4" s="8">
        <v>0</v>
      </c>
      <c r="F4" s="5" t="s">
        <v>59</v>
      </c>
    </row>
    <row r="5" spans="1:6" x14ac:dyDescent="0.45">
      <c r="A5" s="5" t="s">
        <v>150</v>
      </c>
      <c r="B5" s="5" t="s">
        <v>151</v>
      </c>
      <c r="C5" s="5" t="s">
        <v>149</v>
      </c>
      <c r="D5" s="5" t="s">
        <v>144</v>
      </c>
      <c r="E5" s="8">
        <v>0</v>
      </c>
      <c r="F5" s="5" t="s">
        <v>59</v>
      </c>
    </row>
    <row r="6" spans="1:6" x14ac:dyDescent="0.45">
      <c r="A6" s="9"/>
      <c r="B6" s="9"/>
      <c r="C6" s="9"/>
      <c r="D6" s="9"/>
      <c r="E6" s="10"/>
      <c r="F6" s="9"/>
    </row>
    <row r="7" spans="1:6" x14ac:dyDescent="0.45">
      <c r="A7" s="9"/>
      <c r="B7" s="9"/>
      <c r="C7" s="9"/>
      <c r="D7" s="9"/>
      <c r="E7" s="10"/>
      <c r="F7" s="9"/>
    </row>
    <row r="8" spans="1:6" x14ac:dyDescent="0.45">
      <c r="A8" s="9"/>
      <c r="B8" s="9"/>
      <c r="C8" s="9"/>
      <c r="D8" s="9"/>
      <c r="E8" s="10"/>
      <c r="F8" s="9"/>
    </row>
    <row r="9" spans="1:6" x14ac:dyDescent="0.45">
      <c r="A9" s="9"/>
      <c r="B9" s="9"/>
      <c r="C9" s="9"/>
      <c r="D9" s="9"/>
      <c r="E9" s="10"/>
      <c r="F9" s="9"/>
    </row>
    <row r="10" spans="1:6" x14ac:dyDescent="0.45">
      <c r="A10" s="9"/>
      <c r="B10" s="9"/>
      <c r="C10" s="9"/>
      <c r="D10" s="9"/>
      <c r="E10" s="10"/>
      <c r="F10" s="9"/>
    </row>
    <row r="11" spans="1:6" x14ac:dyDescent="0.45">
      <c r="A11" s="9"/>
      <c r="B11" s="9"/>
      <c r="C11" s="9"/>
      <c r="D11" s="9"/>
      <c r="E11" s="10"/>
      <c r="F11" s="9"/>
    </row>
    <row r="12" spans="1:6" x14ac:dyDescent="0.45">
      <c r="A12" s="9"/>
      <c r="B12" s="9"/>
      <c r="C12" s="9"/>
      <c r="D12" s="9"/>
      <c r="E12" s="10"/>
      <c r="F12" s="9"/>
    </row>
    <row r="13" spans="1:6" x14ac:dyDescent="0.45">
      <c r="A13" s="9"/>
      <c r="B13" s="9"/>
      <c r="C13" s="9"/>
      <c r="D13" s="9"/>
      <c r="E13" s="10"/>
      <c r="F13" s="9"/>
    </row>
    <row r="14" spans="1:6" x14ac:dyDescent="0.45">
      <c r="A14" s="9"/>
      <c r="B14" s="9"/>
      <c r="C14" s="9"/>
      <c r="D14" s="9"/>
      <c r="E14" s="10"/>
      <c r="F14" s="9"/>
    </row>
    <row r="15" spans="1:6" x14ac:dyDescent="0.45">
      <c r="A15" s="9"/>
      <c r="B15" s="9"/>
      <c r="C15" s="9"/>
      <c r="D15" s="9"/>
      <c r="E15" s="10"/>
      <c r="F15" s="9"/>
    </row>
    <row r="16" spans="1:6" x14ac:dyDescent="0.45">
      <c r="A16" s="9"/>
      <c r="B16" s="9"/>
      <c r="C16" s="9"/>
      <c r="D16" s="9"/>
      <c r="E16" s="10"/>
      <c r="F16" s="9"/>
    </row>
    <row r="17" spans="1:6" x14ac:dyDescent="0.45">
      <c r="A17" s="9"/>
      <c r="B17" s="9"/>
      <c r="C17" s="9"/>
      <c r="D17" s="9"/>
      <c r="E17" s="10"/>
      <c r="F17" s="9"/>
    </row>
    <row r="18" spans="1:6" x14ac:dyDescent="0.45">
      <c r="A18" s="9"/>
      <c r="B18" s="9"/>
      <c r="C18" s="9"/>
      <c r="D18" s="9"/>
      <c r="E18" s="10"/>
      <c r="F18" s="9"/>
    </row>
    <row r="19" spans="1:6" x14ac:dyDescent="0.45">
      <c r="A19" s="9"/>
      <c r="B19" s="9"/>
      <c r="C19" s="9"/>
      <c r="D19" s="9"/>
      <c r="E19" s="10"/>
      <c r="F19" s="9"/>
    </row>
    <row r="20" spans="1:6" x14ac:dyDescent="0.45">
      <c r="A20" s="9"/>
      <c r="B20" s="9"/>
      <c r="C20" s="9"/>
      <c r="D20" s="9"/>
      <c r="E20" s="10"/>
      <c r="F20" s="9"/>
    </row>
    <row r="21" spans="1:6" x14ac:dyDescent="0.45">
      <c r="A21" s="9"/>
      <c r="B21" s="9"/>
      <c r="C21" s="9"/>
      <c r="D21" s="9"/>
      <c r="E21" s="10"/>
      <c r="F21" s="9"/>
    </row>
    <row r="22" spans="1:6" x14ac:dyDescent="0.45">
      <c r="A22" s="9"/>
      <c r="B22" s="9"/>
      <c r="C22" s="9"/>
      <c r="D22" s="9"/>
      <c r="E22" s="10"/>
      <c r="F22" s="9"/>
    </row>
    <row r="23" spans="1:6" x14ac:dyDescent="0.45">
      <c r="A23" s="9"/>
      <c r="B23" s="9"/>
      <c r="C23" s="9"/>
      <c r="D23" s="9"/>
      <c r="E23" s="10"/>
      <c r="F23" s="9"/>
    </row>
    <row r="24" spans="1:6" x14ac:dyDescent="0.45">
      <c r="A24" s="9"/>
      <c r="B24" s="9"/>
      <c r="C24" s="9"/>
      <c r="D24" s="9"/>
      <c r="E24" s="10"/>
      <c r="F24" s="9"/>
    </row>
    <row r="25" spans="1:6" x14ac:dyDescent="0.45">
      <c r="A25" s="9"/>
      <c r="B25" s="9"/>
      <c r="C25" s="9"/>
      <c r="D25" s="9"/>
      <c r="E25" s="10"/>
      <c r="F25" s="9"/>
    </row>
    <row r="26" spans="1:6" x14ac:dyDescent="0.45">
      <c r="A26" s="9"/>
      <c r="B26" s="9"/>
      <c r="C26" s="9"/>
      <c r="D26" s="9"/>
      <c r="E26" s="10"/>
      <c r="F26" s="9"/>
    </row>
    <row r="27" spans="1:6" x14ac:dyDescent="0.45">
      <c r="A27" s="9"/>
      <c r="B27" s="9"/>
      <c r="C27" s="9"/>
      <c r="D27" s="9"/>
      <c r="E27" s="10"/>
      <c r="F27" s="9"/>
    </row>
    <row r="28" spans="1:6" x14ac:dyDescent="0.45">
      <c r="A28" s="9"/>
      <c r="B28" s="9"/>
      <c r="C28" s="9"/>
      <c r="D28" s="9"/>
      <c r="E28" s="10"/>
      <c r="F28" s="9"/>
    </row>
    <row r="29" spans="1:6" x14ac:dyDescent="0.45">
      <c r="A29" s="9"/>
      <c r="B29" s="9"/>
      <c r="C29" s="9"/>
      <c r="D29" s="9"/>
      <c r="E29" s="10"/>
      <c r="F29" s="9"/>
    </row>
    <row r="30" spans="1:6" x14ac:dyDescent="0.45">
      <c r="A30" s="9"/>
      <c r="B30" s="9"/>
      <c r="C30" s="9"/>
      <c r="D30" s="9"/>
      <c r="E30" s="10"/>
      <c r="F30" s="9"/>
    </row>
    <row r="31" spans="1:6" x14ac:dyDescent="0.45">
      <c r="A31" s="9"/>
      <c r="B31" s="9"/>
      <c r="C31" s="9"/>
      <c r="D31" s="9"/>
      <c r="E31" s="10"/>
      <c r="F31" s="9"/>
    </row>
    <row r="32" spans="1:6" x14ac:dyDescent="0.45">
      <c r="A32" s="9"/>
      <c r="B32" s="9"/>
      <c r="C32" s="9"/>
      <c r="D32" s="9"/>
      <c r="E32" s="10"/>
      <c r="F32" s="9"/>
    </row>
    <row r="33" spans="1:6" x14ac:dyDescent="0.45">
      <c r="A33" s="9"/>
      <c r="B33" s="9"/>
      <c r="C33" s="9"/>
      <c r="D33" s="9"/>
      <c r="E33" s="10"/>
      <c r="F33" s="9"/>
    </row>
    <row r="34" spans="1:6" x14ac:dyDescent="0.45">
      <c r="A34" s="9"/>
      <c r="B34" s="9"/>
      <c r="C34" s="9"/>
      <c r="D34" s="9"/>
      <c r="E34" s="10"/>
      <c r="F34" s="9"/>
    </row>
    <row r="35" spans="1:6" x14ac:dyDescent="0.45">
      <c r="A35" s="9"/>
      <c r="B35" s="9"/>
      <c r="C35" s="9"/>
      <c r="D35" s="9"/>
      <c r="E35" s="10"/>
      <c r="F35" s="9"/>
    </row>
    <row r="36" spans="1:6" x14ac:dyDescent="0.45">
      <c r="A36" s="9"/>
      <c r="B36" s="9"/>
      <c r="C36" s="9"/>
      <c r="D36" s="9"/>
      <c r="E36" s="10"/>
      <c r="F36" s="9"/>
    </row>
    <row r="37" spans="1:6" x14ac:dyDescent="0.45">
      <c r="A37" s="9"/>
      <c r="B37" s="9"/>
      <c r="C37" s="9"/>
      <c r="D37" s="9"/>
      <c r="E37" s="10"/>
      <c r="F37" s="9"/>
    </row>
    <row r="38" spans="1:6" x14ac:dyDescent="0.45">
      <c r="A38" s="9"/>
      <c r="B38" s="9"/>
      <c r="C38" s="9"/>
      <c r="D38" s="9"/>
      <c r="E38" s="10"/>
      <c r="F38" s="9"/>
    </row>
    <row r="39" spans="1:6" x14ac:dyDescent="0.45">
      <c r="A39" s="9"/>
      <c r="B39" s="9"/>
      <c r="C39" s="9"/>
      <c r="D39" s="9"/>
      <c r="E39" s="10"/>
      <c r="F39" s="9"/>
    </row>
    <row r="40" spans="1:6" x14ac:dyDescent="0.45">
      <c r="A40" s="9"/>
      <c r="B40" s="9"/>
      <c r="C40" s="9"/>
      <c r="D40" s="9"/>
      <c r="E40" s="10"/>
      <c r="F40" s="9"/>
    </row>
    <row r="41" spans="1:6" x14ac:dyDescent="0.45">
      <c r="A41" s="9"/>
      <c r="B41" s="9"/>
      <c r="C41" s="9"/>
      <c r="D41" s="9"/>
      <c r="E41" s="10"/>
      <c r="F41" s="9"/>
    </row>
    <row r="42" spans="1:6" x14ac:dyDescent="0.45">
      <c r="A42" s="9"/>
      <c r="B42" s="9"/>
      <c r="C42" s="9"/>
      <c r="D42" s="9"/>
      <c r="E42" s="10"/>
      <c r="F42" s="9"/>
    </row>
    <row r="43" spans="1:6" x14ac:dyDescent="0.45">
      <c r="A43" s="9"/>
      <c r="B43" s="9"/>
      <c r="C43" s="9"/>
      <c r="D43" s="9"/>
      <c r="E43" s="10"/>
      <c r="F43" s="9"/>
    </row>
    <row r="44" spans="1:6" x14ac:dyDescent="0.45">
      <c r="A44" s="9"/>
      <c r="B44" s="9"/>
      <c r="C44" s="9"/>
      <c r="D44" s="9"/>
      <c r="E44" s="10"/>
      <c r="F44" s="9"/>
    </row>
    <row r="45" spans="1:6" x14ac:dyDescent="0.45">
      <c r="A45" s="9"/>
      <c r="B45" s="9"/>
      <c r="C45" s="9"/>
      <c r="D45" s="9"/>
      <c r="E45" s="10"/>
      <c r="F45" s="9"/>
    </row>
    <row r="46" spans="1:6" x14ac:dyDescent="0.45">
      <c r="A46" s="9"/>
      <c r="B46" s="9"/>
      <c r="C46" s="9"/>
      <c r="D46" s="9"/>
      <c r="E46" s="10"/>
      <c r="F46" s="9"/>
    </row>
    <row r="47" spans="1:6" x14ac:dyDescent="0.45">
      <c r="A47" s="9"/>
      <c r="B47" s="9"/>
      <c r="C47" s="9"/>
      <c r="D47" s="9"/>
      <c r="E47" s="10"/>
      <c r="F47" s="9"/>
    </row>
    <row r="48" spans="1:6" x14ac:dyDescent="0.45">
      <c r="A48" s="9"/>
      <c r="B48" s="9"/>
      <c r="C48" s="9"/>
      <c r="D48" s="9"/>
      <c r="E48" s="10"/>
      <c r="F48" s="9"/>
    </row>
    <row r="49" spans="1:6" x14ac:dyDescent="0.45">
      <c r="A49" s="9"/>
      <c r="B49" s="9"/>
      <c r="C49" s="9"/>
      <c r="D49" s="9"/>
      <c r="E49" s="10"/>
      <c r="F49" s="9"/>
    </row>
    <row r="50" spans="1:6" x14ac:dyDescent="0.45">
      <c r="A50" s="9"/>
      <c r="B50" s="9"/>
      <c r="C50" s="9"/>
      <c r="D50" s="9"/>
      <c r="E50" s="10"/>
      <c r="F50" s="9"/>
    </row>
    <row r="51" spans="1:6" x14ac:dyDescent="0.45">
      <c r="A51" s="9"/>
      <c r="B51" s="9"/>
      <c r="C51" s="9"/>
      <c r="D51" s="9"/>
      <c r="E51" s="10"/>
      <c r="F51" s="9"/>
    </row>
    <row r="52" spans="1:6" x14ac:dyDescent="0.45">
      <c r="A52" s="9"/>
      <c r="B52" s="9"/>
      <c r="C52" s="9"/>
      <c r="D52" s="9"/>
      <c r="E52" s="10"/>
      <c r="F52" s="9"/>
    </row>
    <row r="53" spans="1:6" x14ac:dyDescent="0.45">
      <c r="A53" s="9"/>
      <c r="B53" s="9"/>
      <c r="C53" s="9"/>
      <c r="D53" s="9"/>
      <c r="E53" s="10"/>
      <c r="F53" s="9"/>
    </row>
    <row r="54" spans="1:6" x14ac:dyDescent="0.45">
      <c r="A54" s="9"/>
      <c r="B54" s="9"/>
      <c r="C54" s="9"/>
      <c r="D54" s="9"/>
      <c r="E54" s="10"/>
      <c r="F54" s="9"/>
    </row>
    <row r="55" spans="1:6" x14ac:dyDescent="0.45">
      <c r="A55" s="9"/>
      <c r="B55" s="9"/>
      <c r="C55" s="9"/>
      <c r="D55" s="9"/>
      <c r="E55" s="10"/>
      <c r="F55" s="9"/>
    </row>
    <row r="56" spans="1:6" x14ac:dyDescent="0.45">
      <c r="A56" s="9"/>
      <c r="B56" s="9"/>
      <c r="C56" s="9"/>
      <c r="D56" s="9"/>
      <c r="E56" s="10"/>
      <c r="F56" s="9"/>
    </row>
    <row r="57" spans="1:6" x14ac:dyDescent="0.45">
      <c r="A57" s="9"/>
      <c r="B57" s="9"/>
      <c r="C57" s="9"/>
      <c r="D57" s="9"/>
      <c r="E57" s="10"/>
      <c r="F57" s="9"/>
    </row>
    <row r="58" spans="1:6" x14ac:dyDescent="0.45">
      <c r="A58" s="9"/>
      <c r="B58" s="9"/>
      <c r="C58" s="9"/>
      <c r="D58" s="9"/>
      <c r="E58" s="10"/>
      <c r="F58" s="9"/>
    </row>
    <row r="59" spans="1:6" x14ac:dyDescent="0.45">
      <c r="A59" s="9"/>
      <c r="B59" s="9"/>
      <c r="C59" s="9"/>
      <c r="D59" s="9"/>
      <c r="E59" s="10"/>
      <c r="F59" s="9"/>
    </row>
    <row r="60" spans="1:6" x14ac:dyDescent="0.45">
      <c r="A60" s="9"/>
      <c r="B60" s="9"/>
      <c r="C60" s="9"/>
      <c r="D60" s="9"/>
      <c r="E60" s="10"/>
      <c r="F60" s="9"/>
    </row>
    <row r="61" spans="1:6" x14ac:dyDescent="0.45">
      <c r="A61" s="9"/>
      <c r="B61" s="9"/>
      <c r="C61" s="9"/>
      <c r="D61" s="9"/>
      <c r="E61" s="10"/>
      <c r="F61" s="9"/>
    </row>
    <row r="62" spans="1:6" x14ac:dyDescent="0.45">
      <c r="A62" s="9"/>
      <c r="B62" s="9"/>
      <c r="C62" s="9"/>
      <c r="D62" s="9"/>
      <c r="E62" s="10"/>
      <c r="F62" s="9"/>
    </row>
    <row r="63" spans="1:6" x14ac:dyDescent="0.45">
      <c r="A63" s="9"/>
      <c r="B63" s="9"/>
      <c r="C63" s="9"/>
      <c r="D63" s="9"/>
      <c r="E63" s="10"/>
      <c r="F63" s="9"/>
    </row>
    <row r="64" spans="1:6" x14ac:dyDescent="0.45">
      <c r="A64" s="9"/>
      <c r="B64" s="9"/>
      <c r="C64" s="9"/>
      <c r="D64" s="9"/>
      <c r="E64" s="10"/>
      <c r="F64" s="9"/>
    </row>
    <row r="65" spans="1:6" x14ac:dyDescent="0.45">
      <c r="A65" s="9"/>
      <c r="B65" s="9"/>
      <c r="C65" s="9"/>
      <c r="D65" s="9"/>
      <c r="E65" s="10"/>
      <c r="F65" s="9"/>
    </row>
    <row r="66" spans="1:6" x14ac:dyDescent="0.45">
      <c r="A66" s="9"/>
      <c r="B66" s="9"/>
      <c r="C66" s="9"/>
      <c r="D66" s="9"/>
      <c r="E66" s="10"/>
      <c r="F66" s="9"/>
    </row>
    <row r="67" spans="1:6" x14ac:dyDescent="0.45">
      <c r="A67" s="9"/>
      <c r="B67" s="9"/>
      <c r="C67" s="9"/>
      <c r="D67" s="9"/>
      <c r="E67" s="10"/>
      <c r="F67" s="9"/>
    </row>
    <row r="68" spans="1:6" x14ac:dyDescent="0.45">
      <c r="A68" s="9"/>
      <c r="B68" s="9"/>
      <c r="C68" s="9"/>
      <c r="D68" s="9"/>
      <c r="E68" s="10"/>
      <c r="F68" s="9"/>
    </row>
    <row r="69" spans="1:6" x14ac:dyDescent="0.45">
      <c r="A69" s="9"/>
      <c r="B69" s="9"/>
      <c r="C69" s="9"/>
      <c r="D69" s="9"/>
      <c r="E69" s="10"/>
      <c r="F69" s="9"/>
    </row>
    <row r="70" spans="1:6" x14ac:dyDescent="0.45">
      <c r="A70" s="9"/>
      <c r="B70" s="9"/>
      <c r="C70" s="9"/>
      <c r="D70" s="9"/>
      <c r="E70" s="10"/>
      <c r="F70" s="9"/>
    </row>
    <row r="71" spans="1:6" x14ac:dyDescent="0.45">
      <c r="A71" s="9"/>
      <c r="B71" s="9"/>
      <c r="C71" s="9"/>
      <c r="D71" s="9"/>
      <c r="E71" s="10"/>
      <c r="F71" s="9"/>
    </row>
    <row r="72" spans="1:6" x14ac:dyDescent="0.45">
      <c r="A72" s="9"/>
      <c r="B72" s="9"/>
      <c r="C72" s="9"/>
      <c r="D72" s="9"/>
      <c r="E72" s="10"/>
      <c r="F72" s="9"/>
    </row>
    <row r="73" spans="1:6" x14ac:dyDescent="0.45">
      <c r="A73" s="9"/>
      <c r="B73" s="9"/>
      <c r="C73" s="9"/>
      <c r="D73" s="9"/>
      <c r="E73" s="10"/>
      <c r="F73" s="9"/>
    </row>
    <row r="74" spans="1:6" x14ac:dyDescent="0.45">
      <c r="A74" s="9"/>
      <c r="B74" s="9"/>
      <c r="C74" s="9"/>
      <c r="D74" s="9"/>
      <c r="E74" s="10"/>
      <c r="F74" s="9"/>
    </row>
    <row r="75" spans="1:6" x14ac:dyDescent="0.45">
      <c r="A75" s="9"/>
      <c r="B75" s="9"/>
      <c r="C75" s="9"/>
      <c r="D75" s="9"/>
      <c r="E75" s="10"/>
      <c r="F75" s="9"/>
    </row>
    <row r="76" spans="1:6" x14ac:dyDescent="0.45">
      <c r="A76" s="9"/>
      <c r="B76" s="9"/>
      <c r="C76" s="9"/>
      <c r="D76" s="9"/>
      <c r="E76" s="10"/>
      <c r="F76" s="9"/>
    </row>
    <row r="77" spans="1:6" x14ac:dyDescent="0.45">
      <c r="A77" s="9"/>
      <c r="B77" s="9"/>
      <c r="C77" s="9"/>
      <c r="D77" s="9"/>
      <c r="E77" s="10"/>
      <c r="F77" s="9"/>
    </row>
    <row r="78" spans="1:6" x14ac:dyDescent="0.45">
      <c r="A78" s="9"/>
      <c r="B78" s="9"/>
      <c r="C78" s="9"/>
      <c r="D78" s="9"/>
      <c r="E78" s="10"/>
      <c r="F78" s="9"/>
    </row>
    <row r="79" spans="1:6" x14ac:dyDescent="0.45">
      <c r="A79" s="9"/>
      <c r="B79" s="9"/>
      <c r="C79" s="9"/>
      <c r="D79" s="9"/>
      <c r="E79" s="10"/>
      <c r="F79" s="9"/>
    </row>
    <row r="80" spans="1:6" x14ac:dyDescent="0.45">
      <c r="A80" s="9"/>
      <c r="B80" s="9"/>
      <c r="C80" s="9"/>
      <c r="D80" s="9"/>
      <c r="E80" s="10"/>
      <c r="F80" s="9"/>
    </row>
    <row r="81" spans="1:6" x14ac:dyDescent="0.45">
      <c r="A81" s="9"/>
      <c r="B81" s="9"/>
      <c r="C81" s="9"/>
      <c r="D81" s="9"/>
      <c r="E81" s="10"/>
      <c r="F81" s="9"/>
    </row>
    <row r="82" spans="1:6" x14ac:dyDescent="0.45">
      <c r="A82" s="9"/>
      <c r="B82" s="9"/>
      <c r="C82" s="9"/>
      <c r="D82" s="9"/>
      <c r="E82" s="10"/>
      <c r="F82" s="9"/>
    </row>
    <row r="83" spans="1:6" x14ac:dyDescent="0.45">
      <c r="A83" s="9"/>
      <c r="B83" s="9"/>
      <c r="C83" s="9"/>
      <c r="D83" s="9"/>
      <c r="E83" s="10"/>
      <c r="F83" s="9"/>
    </row>
    <row r="84" spans="1:6" x14ac:dyDescent="0.45">
      <c r="A84" s="9"/>
      <c r="B84" s="9"/>
      <c r="C84" s="9"/>
      <c r="D84" s="9"/>
      <c r="E84" s="10"/>
      <c r="F84" s="9"/>
    </row>
    <row r="85" spans="1:6" x14ac:dyDescent="0.45">
      <c r="A85" s="9"/>
      <c r="B85" s="9"/>
      <c r="C85" s="9"/>
      <c r="D85" s="9"/>
      <c r="E85" s="10"/>
      <c r="F85" s="9"/>
    </row>
    <row r="86" spans="1:6" x14ac:dyDescent="0.45">
      <c r="A86" s="9"/>
      <c r="B86" s="9"/>
      <c r="C86" s="9"/>
      <c r="D86" s="9"/>
      <c r="E86" s="10"/>
      <c r="F86" s="9"/>
    </row>
    <row r="87" spans="1:6" x14ac:dyDescent="0.45">
      <c r="A87" s="9"/>
      <c r="B87" s="9"/>
      <c r="C87" s="9"/>
      <c r="D87" s="9"/>
      <c r="E87" s="10"/>
      <c r="F87" s="9"/>
    </row>
    <row r="88" spans="1:6" x14ac:dyDescent="0.45">
      <c r="A88" s="9"/>
      <c r="B88" s="9"/>
      <c r="C88" s="9"/>
      <c r="D88" s="9"/>
      <c r="E88" s="10"/>
      <c r="F88" s="9"/>
    </row>
    <row r="89" spans="1:6" x14ac:dyDescent="0.45">
      <c r="A89" s="9"/>
      <c r="B89" s="9"/>
      <c r="C89" s="9"/>
      <c r="D89" s="9"/>
      <c r="E89" s="10"/>
      <c r="F89" s="9"/>
    </row>
    <row r="90" spans="1:6" x14ac:dyDescent="0.45">
      <c r="A90" s="9"/>
      <c r="B90" s="9"/>
      <c r="C90" s="9"/>
      <c r="D90" s="9"/>
      <c r="E90" s="10"/>
      <c r="F90" s="9"/>
    </row>
    <row r="91" spans="1:6" x14ac:dyDescent="0.45">
      <c r="A91" s="9"/>
      <c r="B91" s="9"/>
      <c r="C91" s="9"/>
      <c r="D91" s="9"/>
      <c r="E91" s="10"/>
      <c r="F91" s="9"/>
    </row>
    <row r="92" spans="1:6" x14ac:dyDescent="0.45">
      <c r="A92" s="9"/>
      <c r="B92" s="9"/>
      <c r="C92" s="9"/>
      <c r="D92" s="9"/>
      <c r="E92" s="10"/>
      <c r="F92" s="9"/>
    </row>
    <row r="93" spans="1:6" x14ac:dyDescent="0.45">
      <c r="A93" s="9"/>
      <c r="B93" s="9"/>
      <c r="C93" s="9"/>
      <c r="D93" s="9"/>
      <c r="E93" s="10"/>
      <c r="F93" s="9"/>
    </row>
    <row r="94" spans="1:6" x14ac:dyDescent="0.45">
      <c r="A94" s="9"/>
      <c r="B94" s="9"/>
      <c r="C94" s="9"/>
      <c r="D94" s="9"/>
      <c r="E94" s="10"/>
      <c r="F94" s="9"/>
    </row>
    <row r="95" spans="1:6" x14ac:dyDescent="0.45">
      <c r="A95" s="9"/>
      <c r="B95" s="9"/>
      <c r="C95" s="9"/>
      <c r="D95" s="9"/>
      <c r="E95" s="10"/>
      <c r="F95" s="9"/>
    </row>
    <row r="96" spans="1:6" x14ac:dyDescent="0.45">
      <c r="A96" s="9"/>
      <c r="B96" s="9"/>
      <c r="C96" s="9"/>
      <c r="D96" s="9"/>
      <c r="E96" s="10"/>
      <c r="F96" s="9"/>
    </row>
    <row r="97" spans="1:6" x14ac:dyDescent="0.45">
      <c r="A97" s="9"/>
      <c r="B97" s="9"/>
      <c r="C97" s="9"/>
      <c r="D97" s="9"/>
      <c r="E97" s="10"/>
      <c r="F97" s="9"/>
    </row>
    <row r="98" spans="1:6" x14ac:dyDescent="0.45">
      <c r="A98" s="9"/>
      <c r="B98" s="9"/>
      <c r="C98" s="9"/>
      <c r="D98" s="9"/>
      <c r="E98" s="10"/>
      <c r="F98" s="9"/>
    </row>
    <row r="99" spans="1:6" x14ac:dyDescent="0.45">
      <c r="A99" s="9"/>
      <c r="B99" s="9"/>
      <c r="C99" s="9"/>
      <c r="D99" s="9"/>
      <c r="E99" s="10"/>
      <c r="F99" s="9"/>
    </row>
    <row r="100" spans="1:6" x14ac:dyDescent="0.45">
      <c r="A100" s="9"/>
      <c r="B100" s="9"/>
      <c r="C100" s="9"/>
      <c r="D100" s="9"/>
      <c r="E100" s="10"/>
      <c r="F100" s="9"/>
    </row>
    <row r="101" spans="1:6" x14ac:dyDescent="0.45">
      <c r="A101" s="9"/>
      <c r="B101" s="9"/>
      <c r="C101" s="9"/>
      <c r="D101" s="9"/>
      <c r="E101" s="10"/>
      <c r="F101" s="9"/>
    </row>
  </sheetData>
  <dataValidations count="2">
    <dataValidation type="list" allowBlank="1" sqref="D2:D200 F2:G200" xr:uid="{00000000-0002-0000-0400-000000000000}">
      <formula1>"SI,NO"</formula1>
    </dataValidation>
    <dataValidation type="list" allowBlank="1" sqref="C2:C200" xr:uid="{00000000-0002-0000-0400-000002000000}">
      <formula1>"FIJO,VARIABLE"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1"/>
  <sheetViews>
    <sheetView workbookViewId="0"/>
  </sheetViews>
  <sheetFormatPr baseColWidth="10" defaultColWidth="9.06640625" defaultRowHeight="14.25" x14ac:dyDescent="0.45"/>
  <cols>
    <col min="1" max="1" customWidth="true" width="14.0"/>
    <col min="2" max="2" customWidth="true" width="24.0"/>
    <col min="3" max="3" customWidth="true" width="14.0"/>
    <col min="4" max="4" customWidth="true" width="22.0"/>
    <col min="5" max="5" customWidth="true" width="14.0"/>
    <col min="6" max="6" customWidth="true" width="16.0"/>
    <col min="7" max="7" customWidth="true" width="10.0"/>
  </cols>
  <sheetData>
    <row r="1" spans="1:7" x14ac:dyDescent="0.45">
      <c r="A1" s="3" t="s">
        <v>152</v>
      </c>
      <c r="B1" s="3" t="s">
        <v>136</v>
      </c>
      <c r="C1" s="3" t="s">
        <v>137</v>
      </c>
      <c r="D1" s="3" t="s">
        <v>153</v>
      </c>
      <c r="E1" s="3" t="s">
        <v>86</v>
      </c>
      <c r="F1" s="3" t="s">
        <v>138</v>
      </c>
      <c r="G1" s="3" t="s">
        <v>103</v>
      </c>
    </row>
    <row r="2" spans="1:7" x14ac:dyDescent="0.45">
      <c r="A2" s="5" t="s">
        <v>154</v>
      </c>
      <c r="B2" s="5" t="s">
        <v>155</v>
      </c>
      <c r="C2" s="5" t="s">
        <v>156</v>
      </c>
      <c r="D2" s="5" t="s">
        <v>157</v>
      </c>
      <c r="E2" s="11">
        <v>0.1</v>
      </c>
      <c r="F2" s="5" t="s">
        <v>59</v>
      </c>
      <c r="G2" s="5" t="s">
        <v>59</v>
      </c>
    </row>
    <row r="3" spans="1:7" x14ac:dyDescent="0.45">
      <c r="A3" s="5" t="s">
        <v>158</v>
      </c>
      <c r="B3" s="5" t="s">
        <v>159</v>
      </c>
      <c r="C3" s="5" t="s">
        <v>156</v>
      </c>
      <c r="D3" s="5" t="s">
        <v>160</v>
      </c>
      <c r="E3" s="11">
        <v>2.5000000000000001E-2</v>
      </c>
      <c r="F3" s="5" t="s">
        <v>59</v>
      </c>
      <c r="G3" s="5" t="s">
        <v>59</v>
      </c>
    </row>
    <row r="4" spans="1:7" x14ac:dyDescent="0.45">
      <c r="A4" s="5" t="s">
        <v>161</v>
      </c>
      <c r="B4" s="5" t="s">
        <v>162</v>
      </c>
      <c r="C4" s="5" t="s">
        <v>143</v>
      </c>
      <c r="D4" s="5" t="s">
        <v>160</v>
      </c>
      <c r="E4" s="8">
        <v>0</v>
      </c>
      <c r="F4" s="5" t="s">
        <v>144</v>
      </c>
      <c r="G4" s="5" t="s">
        <v>59</v>
      </c>
    </row>
    <row r="5" spans="1:7" x14ac:dyDescent="0.45">
      <c r="A5" s="9"/>
      <c r="B5" s="9"/>
      <c r="C5" s="9"/>
      <c r="D5" s="9"/>
      <c r="E5" s="10"/>
      <c r="F5" s="9"/>
      <c r="G5" s="9"/>
    </row>
    <row r="6" spans="1:7" x14ac:dyDescent="0.45">
      <c r="A6" s="9"/>
      <c r="B6" s="9"/>
      <c r="C6" s="9"/>
      <c r="D6" s="9"/>
      <c r="E6" s="10"/>
      <c r="F6" s="9"/>
      <c r="G6" s="9"/>
    </row>
    <row r="7" spans="1:7" x14ac:dyDescent="0.45">
      <c r="A7" s="9"/>
      <c r="B7" s="9"/>
      <c r="C7" s="9"/>
      <c r="D7" s="9"/>
      <c r="E7" s="10"/>
      <c r="F7" s="9"/>
      <c r="G7" s="9"/>
    </row>
    <row r="8" spans="1:7" x14ac:dyDescent="0.45">
      <c r="A8" s="9"/>
      <c r="B8" s="9"/>
      <c r="C8" s="9"/>
      <c r="D8" s="9"/>
      <c r="E8" s="10"/>
      <c r="F8" s="9"/>
      <c r="G8" s="9"/>
    </row>
    <row r="9" spans="1:7" x14ac:dyDescent="0.45">
      <c r="A9" s="9"/>
      <c r="B9" s="9"/>
      <c r="C9" s="9"/>
      <c r="D9" s="9"/>
      <c r="E9" s="10"/>
      <c r="F9" s="9"/>
      <c r="G9" s="9"/>
    </row>
    <row r="10" spans="1:7" x14ac:dyDescent="0.45">
      <c r="A10" s="9"/>
      <c r="B10" s="9"/>
      <c r="C10" s="9"/>
      <c r="D10" s="9"/>
      <c r="E10" s="10"/>
      <c r="F10" s="9"/>
      <c r="G10" s="9"/>
    </row>
    <row r="11" spans="1:7" x14ac:dyDescent="0.45">
      <c r="A11" s="9"/>
      <c r="B11" s="9"/>
      <c r="C11" s="9"/>
      <c r="D11" s="9"/>
      <c r="E11" s="10"/>
      <c r="F11" s="9"/>
      <c r="G11" s="9"/>
    </row>
    <row r="12" spans="1:7" x14ac:dyDescent="0.45">
      <c r="A12" s="9"/>
      <c r="B12" s="9"/>
      <c r="C12" s="9"/>
      <c r="D12" s="9"/>
      <c r="E12" s="10"/>
      <c r="F12" s="9"/>
      <c r="G12" s="9"/>
    </row>
    <row r="13" spans="1:7" x14ac:dyDescent="0.45">
      <c r="A13" s="9"/>
      <c r="B13" s="9"/>
      <c r="C13" s="9"/>
      <c r="D13" s="9"/>
      <c r="E13" s="10"/>
      <c r="F13" s="9"/>
      <c r="G13" s="9"/>
    </row>
    <row r="14" spans="1:7" x14ac:dyDescent="0.45">
      <c r="A14" s="9"/>
      <c r="B14" s="9"/>
      <c r="C14" s="9"/>
      <c r="D14" s="9"/>
      <c r="E14" s="10"/>
      <c r="F14" s="9"/>
      <c r="G14" s="9"/>
    </row>
    <row r="15" spans="1:7" x14ac:dyDescent="0.45">
      <c r="A15" s="9"/>
      <c r="B15" s="9"/>
      <c r="C15" s="9"/>
      <c r="D15" s="9"/>
      <c r="E15" s="10"/>
      <c r="F15" s="9"/>
      <c r="G15" s="9"/>
    </row>
    <row r="16" spans="1:7" x14ac:dyDescent="0.45">
      <c r="A16" s="9"/>
      <c r="B16" s="9"/>
      <c r="C16" s="9"/>
      <c r="D16" s="9"/>
      <c r="E16" s="10"/>
      <c r="F16" s="9"/>
      <c r="G16" s="9"/>
    </row>
    <row r="17" spans="1:7" x14ac:dyDescent="0.45">
      <c r="A17" s="9"/>
      <c r="B17" s="9"/>
      <c r="C17" s="9"/>
      <c r="D17" s="9"/>
      <c r="E17" s="10"/>
      <c r="F17" s="9"/>
      <c r="G17" s="9"/>
    </row>
    <row r="18" spans="1:7" x14ac:dyDescent="0.45">
      <c r="A18" s="9"/>
      <c r="B18" s="9"/>
      <c r="C18" s="9"/>
      <c r="D18" s="9"/>
      <c r="E18" s="10"/>
      <c r="F18" s="9"/>
      <c r="G18" s="9"/>
    </row>
    <row r="19" spans="1:7" x14ac:dyDescent="0.45">
      <c r="A19" s="9"/>
      <c r="B19" s="9"/>
      <c r="C19" s="9"/>
      <c r="D19" s="9"/>
      <c r="E19" s="10"/>
      <c r="F19" s="9"/>
      <c r="G19" s="9"/>
    </row>
    <row r="20" spans="1:7" x14ac:dyDescent="0.45">
      <c r="A20" s="9"/>
      <c r="B20" s="9"/>
      <c r="C20" s="9"/>
      <c r="D20" s="9"/>
      <c r="E20" s="10"/>
      <c r="F20" s="9"/>
      <c r="G20" s="9"/>
    </row>
    <row r="21" spans="1:7" x14ac:dyDescent="0.45">
      <c r="A21" s="9"/>
      <c r="B21" s="9"/>
      <c r="C21" s="9"/>
      <c r="D21" s="9"/>
      <c r="E21" s="10"/>
      <c r="F21" s="9"/>
      <c r="G21" s="9"/>
    </row>
    <row r="22" spans="1:7" x14ac:dyDescent="0.45">
      <c r="A22" s="9"/>
      <c r="B22" s="9"/>
      <c r="C22" s="9"/>
      <c r="D22" s="9"/>
      <c r="E22" s="10"/>
      <c r="F22" s="9"/>
      <c r="G22" s="9"/>
    </row>
    <row r="23" spans="1:7" x14ac:dyDescent="0.45">
      <c r="A23" s="9"/>
      <c r="B23" s="9"/>
      <c r="C23" s="9"/>
      <c r="D23" s="9"/>
      <c r="E23" s="10"/>
      <c r="F23" s="9"/>
      <c r="G23" s="9"/>
    </row>
    <row r="24" spans="1:7" x14ac:dyDescent="0.45">
      <c r="A24" s="9"/>
      <c r="B24" s="9"/>
      <c r="C24" s="9"/>
      <c r="D24" s="9"/>
      <c r="E24" s="10"/>
      <c r="F24" s="9"/>
      <c r="G24" s="9"/>
    </row>
    <row r="25" spans="1:7" x14ac:dyDescent="0.45">
      <c r="A25" s="9"/>
      <c r="B25" s="9"/>
      <c r="C25" s="9"/>
      <c r="D25" s="9"/>
      <c r="E25" s="10"/>
      <c r="F25" s="9"/>
      <c r="G25" s="9"/>
    </row>
    <row r="26" spans="1:7" x14ac:dyDescent="0.45">
      <c r="A26" s="9"/>
      <c r="B26" s="9"/>
      <c r="C26" s="9"/>
      <c r="D26" s="9"/>
      <c r="E26" s="10"/>
      <c r="F26" s="9"/>
      <c r="G26" s="9"/>
    </row>
    <row r="27" spans="1:7" x14ac:dyDescent="0.45">
      <c r="A27" s="9"/>
      <c r="B27" s="9"/>
      <c r="C27" s="9"/>
      <c r="D27" s="9"/>
      <c r="E27" s="10"/>
      <c r="F27" s="9"/>
      <c r="G27" s="9"/>
    </row>
    <row r="28" spans="1:7" x14ac:dyDescent="0.45">
      <c r="A28" s="9"/>
      <c r="B28" s="9"/>
      <c r="C28" s="9"/>
      <c r="D28" s="9"/>
      <c r="E28" s="10"/>
      <c r="F28" s="9"/>
      <c r="G28" s="9"/>
    </row>
    <row r="29" spans="1:7" x14ac:dyDescent="0.45">
      <c r="A29" s="9"/>
      <c r="B29" s="9"/>
      <c r="C29" s="9"/>
      <c r="D29" s="9"/>
      <c r="E29" s="10"/>
      <c r="F29" s="9"/>
      <c r="G29" s="9"/>
    </row>
    <row r="30" spans="1:7" x14ac:dyDescent="0.45">
      <c r="A30" s="9"/>
      <c r="B30" s="9"/>
      <c r="C30" s="9"/>
      <c r="D30" s="9"/>
      <c r="E30" s="10"/>
      <c r="F30" s="9"/>
      <c r="G30" s="9"/>
    </row>
    <row r="31" spans="1:7" x14ac:dyDescent="0.45">
      <c r="A31" s="9"/>
      <c r="B31" s="9"/>
      <c r="C31" s="9"/>
      <c r="D31" s="9"/>
      <c r="E31" s="10"/>
      <c r="F31" s="9"/>
      <c r="G31" s="9"/>
    </row>
    <row r="32" spans="1:7" x14ac:dyDescent="0.45">
      <c r="A32" s="9"/>
      <c r="B32" s="9"/>
      <c r="C32" s="9"/>
      <c r="D32" s="9"/>
      <c r="E32" s="10"/>
      <c r="F32" s="9"/>
      <c r="G32" s="9"/>
    </row>
    <row r="33" spans="1:7" x14ac:dyDescent="0.45">
      <c r="A33" s="9"/>
      <c r="B33" s="9"/>
      <c r="C33" s="9"/>
      <c r="D33" s="9"/>
      <c r="E33" s="10"/>
      <c r="F33" s="9"/>
      <c r="G33" s="9"/>
    </row>
    <row r="34" spans="1:7" x14ac:dyDescent="0.45">
      <c r="A34" s="9"/>
      <c r="B34" s="9"/>
      <c r="C34" s="9"/>
      <c r="D34" s="9"/>
      <c r="E34" s="10"/>
      <c r="F34" s="9"/>
      <c r="G34" s="9"/>
    </row>
    <row r="35" spans="1:7" x14ac:dyDescent="0.45">
      <c r="A35" s="9"/>
      <c r="B35" s="9"/>
      <c r="C35" s="9"/>
      <c r="D35" s="9"/>
      <c r="E35" s="10"/>
      <c r="F35" s="9"/>
      <c r="G35" s="9"/>
    </row>
    <row r="36" spans="1:7" x14ac:dyDescent="0.45">
      <c r="A36" s="9"/>
      <c r="B36" s="9"/>
      <c r="C36" s="9"/>
      <c r="D36" s="9"/>
      <c r="E36" s="10"/>
      <c r="F36" s="9"/>
      <c r="G36" s="9"/>
    </row>
    <row r="37" spans="1:7" x14ac:dyDescent="0.45">
      <c r="A37" s="9"/>
      <c r="B37" s="9"/>
      <c r="C37" s="9"/>
      <c r="D37" s="9"/>
      <c r="E37" s="10"/>
      <c r="F37" s="9"/>
      <c r="G37" s="9"/>
    </row>
    <row r="38" spans="1:7" x14ac:dyDescent="0.45">
      <c r="A38" s="9"/>
      <c r="B38" s="9"/>
      <c r="C38" s="9"/>
      <c r="D38" s="9"/>
      <c r="E38" s="10"/>
      <c r="F38" s="9"/>
      <c r="G38" s="9"/>
    </row>
    <row r="39" spans="1:7" x14ac:dyDescent="0.45">
      <c r="A39" s="9"/>
      <c r="B39" s="9"/>
      <c r="C39" s="9"/>
      <c r="D39" s="9"/>
      <c r="E39" s="10"/>
      <c r="F39" s="9"/>
      <c r="G39" s="9"/>
    </row>
    <row r="40" spans="1:7" x14ac:dyDescent="0.45">
      <c r="A40" s="9"/>
      <c r="B40" s="9"/>
      <c r="C40" s="9"/>
      <c r="D40" s="9"/>
      <c r="E40" s="10"/>
      <c r="F40" s="9"/>
      <c r="G40" s="9"/>
    </row>
    <row r="41" spans="1:7" x14ac:dyDescent="0.45">
      <c r="A41" s="9"/>
      <c r="B41" s="9"/>
      <c r="C41" s="9"/>
      <c r="D41" s="9"/>
      <c r="E41" s="10"/>
      <c r="F41" s="9"/>
      <c r="G41" s="9"/>
    </row>
    <row r="42" spans="1:7" x14ac:dyDescent="0.45">
      <c r="A42" s="9"/>
      <c r="B42" s="9"/>
      <c r="C42" s="9"/>
      <c r="D42" s="9"/>
      <c r="E42" s="10"/>
      <c r="F42" s="9"/>
      <c r="G42" s="9"/>
    </row>
    <row r="43" spans="1:7" x14ac:dyDescent="0.45">
      <c r="A43" s="9"/>
      <c r="B43" s="9"/>
      <c r="C43" s="9"/>
      <c r="D43" s="9"/>
      <c r="E43" s="10"/>
      <c r="F43" s="9"/>
      <c r="G43" s="9"/>
    </row>
    <row r="44" spans="1:7" x14ac:dyDescent="0.45">
      <c r="A44" s="9"/>
      <c r="B44" s="9"/>
      <c r="C44" s="9"/>
      <c r="D44" s="9"/>
      <c r="E44" s="10"/>
      <c r="F44" s="9"/>
      <c r="G44" s="9"/>
    </row>
    <row r="45" spans="1:7" x14ac:dyDescent="0.45">
      <c r="A45" s="9"/>
      <c r="B45" s="9"/>
      <c r="C45" s="9"/>
      <c r="D45" s="9"/>
      <c r="E45" s="10"/>
      <c r="F45" s="9"/>
      <c r="G45" s="9"/>
    </row>
    <row r="46" spans="1:7" x14ac:dyDescent="0.45">
      <c r="A46" s="9"/>
      <c r="B46" s="9"/>
      <c r="C46" s="9"/>
      <c r="D46" s="9"/>
      <c r="E46" s="10"/>
      <c r="F46" s="9"/>
      <c r="G46" s="9"/>
    </row>
    <row r="47" spans="1:7" x14ac:dyDescent="0.45">
      <c r="A47" s="9"/>
      <c r="B47" s="9"/>
      <c r="C47" s="9"/>
      <c r="D47" s="9"/>
      <c r="E47" s="10"/>
      <c r="F47" s="9"/>
      <c r="G47" s="9"/>
    </row>
    <row r="48" spans="1:7" x14ac:dyDescent="0.45">
      <c r="A48" s="9"/>
      <c r="B48" s="9"/>
      <c r="C48" s="9"/>
      <c r="D48" s="9"/>
      <c r="E48" s="10"/>
      <c r="F48" s="9"/>
      <c r="G48" s="9"/>
    </row>
    <row r="49" spans="1:7" x14ac:dyDescent="0.45">
      <c r="A49" s="9"/>
      <c r="B49" s="9"/>
      <c r="C49" s="9"/>
      <c r="D49" s="9"/>
      <c r="E49" s="10"/>
      <c r="F49" s="9"/>
      <c r="G49" s="9"/>
    </row>
    <row r="50" spans="1:7" x14ac:dyDescent="0.45">
      <c r="A50" s="9"/>
      <c r="B50" s="9"/>
      <c r="C50" s="9"/>
      <c r="D50" s="9"/>
      <c r="E50" s="10"/>
      <c r="F50" s="9"/>
      <c r="G50" s="9"/>
    </row>
    <row r="51" spans="1:7" x14ac:dyDescent="0.45">
      <c r="A51" s="9"/>
      <c r="B51" s="9"/>
      <c r="C51" s="9"/>
      <c r="D51" s="9"/>
      <c r="E51" s="10"/>
      <c r="F51" s="9"/>
      <c r="G51" s="9"/>
    </row>
    <row r="52" spans="1:7" x14ac:dyDescent="0.45">
      <c r="A52" s="9"/>
      <c r="B52" s="9"/>
      <c r="C52" s="9"/>
      <c r="D52" s="9"/>
      <c r="E52" s="10"/>
      <c r="F52" s="9"/>
      <c r="G52" s="9"/>
    </row>
    <row r="53" spans="1:7" x14ac:dyDescent="0.45">
      <c r="A53" s="9"/>
      <c r="B53" s="9"/>
      <c r="C53" s="9"/>
      <c r="D53" s="9"/>
      <c r="E53" s="10"/>
      <c r="F53" s="9"/>
      <c r="G53" s="9"/>
    </row>
    <row r="54" spans="1:7" x14ac:dyDescent="0.45">
      <c r="A54" s="9"/>
      <c r="B54" s="9"/>
      <c r="C54" s="9"/>
      <c r="D54" s="9"/>
      <c r="E54" s="10"/>
      <c r="F54" s="9"/>
      <c r="G54" s="9"/>
    </row>
    <row r="55" spans="1:7" x14ac:dyDescent="0.45">
      <c r="A55" s="9"/>
      <c r="B55" s="9"/>
      <c r="C55" s="9"/>
      <c r="D55" s="9"/>
      <c r="E55" s="10"/>
      <c r="F55" s="9"/>
      <c r="G55" s="9"/>
    </row>
    <row r="56" spans="1:7" x14ac:dyDescent="0.45">
      <c r="A56" s="9"/>
      <c r="B56" s="9"/>
      <c r="C56" s="9"/>
      <c r="D56" s="9"/>
      <c r="E56" s="10"/>
      <c r="F56" s="9"/>
      <c r="G56" s="9"/>
    </row>
    <row r="57" spans="1:7" x14ac:dyDescent="0.45">
      <c r="A57" s="9"/>
      <c r="B57" s="9"/>
      <c r="C57" s="9"/>
      <c r="D57" s="9"/>
      <c r="E57" s="10"/>
      <c r="F57" s="9"/>
      <c r="G57" s="9"/>
    </row>
    <row r="58" spans="1:7" x14ac:dyDescent="0.45">
      <c r="A58" s="9"/>
      <c r="B58" s="9"/>
      <c r="C58" s="9"/>
      <c r="D58" s="9"/>
      <c r="E58" s="10"/>
      <c r="F58" s="9"/>
      <c r="G58" s="9"/>
    </row>
    <row r="59" spans="1:7" x14ac:dyDescent="0.45">
      <c r="A59" s="9"/>
      <c r="B59" s="9"/>
      <c r="C59" s="9"/>
      <c r="D59" s="9"/>
      <c r="E59" s="10"/>
      <c r="F59" s="9"/>
      <c r="G59" s="9"/>
    </row>
    <row r="60" spans="1:7" x14ac:dyDescent="0.45">
      <c r="A60" s="9"/>
      <c r="B60" s="9"/>
      <c r="C60" s="9"/>
      <c r="D60" s="9"/>
      <c r="E60" s="10"/>
      <c r="F60" s="9"/>
      <c r="G60" s="9"/>
    </row>
    <row r="61" spans="1:7" x14ac:dyDescent="0.45">
      <c r="A61" s="9"/>
      <c r="B61" s="9"/>
      <c r="C61" s="9"/>
      <c r="D61" s="9"/>
      <c r="E61" s="10"/>
      <c r="F61" s="9"/>
      <c r="G61" s="9"/>
    </row>
    <row r="62" spans="1:7" x14ac:dyDescent="0.45">
      <c r="A62" s="9"/>
      <c r="B62" s="9"/>
      <c r="C62" s="9"/>
      <c r="D62" s="9"/>
      <c r="E62" s="10"/>
      <c r="F62" s="9"/>
      <c r="G62" s="9"/>
    </row>
    <row r="63" spans="1:7" x14ac:dyDescent="0.45">
      <c r="A63" s="9"/>
      <c r="B63" s="9"/>
      <c r="C63" s="9"/>
      <c r="D63" s="9"/>
      <c r="E63" s="10"/>
      <c r="F63" s="9"/>
      <c r="G63" s="9"/>
    </row>
    <row r="64" spans="1:7" x14ac:dyDescent="0.45">
      <c r="A64" s="9"/>
      <c r="B64" s="9"/>
      <c r="C64" s="9"/>
      <c r="D64" s="9"/>
      <c r="E64" s="10"/>
      <c r="F64" s="9"/>
      <c r="G64" s="9"/>
    </row>
    <row r="65" spans="1:7" x14ac:dyDescent="0.45">
      <c r="A65" s="9"/>
      <c r="B65" s="9"/>
      <c r="C65" s="9"/>
      <c r="D65" s="9"/>
      <c r="E65" s="10"/>
      <c r="F65" s="9"/>
      <c r="G65" s="9"/>
    </row>
    <row r="66" spans="1:7" x14ac:dyDescent="0.45">
      <c r="A66" s="9"/>
      <c r="B66" s="9"/>
      <c r="C66" s="9"/>
      <c r="D66" s="9"/>
      <c r="E66" s="10"/>
      <c r="F66" s="9"/>
      <c r="G66" s="9"/>
    </row>
    <row r="67" spans="1:7" x14ac:dyDescent="0.45">
      <c r="A67" s="9"/>
      <c r="B67" s="9"/>
      <c r="C67" s="9"/>
      <c r="D67" s="9"/>
      <c r="E67" s="10"/>
      <c r="F67" s="9"/>
      <c r="G67" s="9"/>
    </row>
    <row r="68" spans="1:7" x14ac:dyDescent="0.45">
      <c r="A68" s="9"/>
      <c r="B68" s="9"/>
      <c r="C68" s="9"/>
      <c r="D68" s="9"/>
      <c r="E68" s="10"/>
      <c r="F68" s="9"/>
      <c r="G68" s="9"/>
    </row>
    <row r="69" spans="1:7" x14ac:dyDescent="0.45">
      <c r="A69" s="9"/>
      <c r="B69" s="9"/>
      <c r="C69" s="9"/>
      <c r="D69" s="9"/>
      <c r="E69" s="10"/>
      <c r="F69" s="9"/>
      <c r="G69" s="9"/>
    </row>
    <row r="70" spans="1:7" x14ac:dyDescent="0.45">
      <c r="A70" s="9"/>
      <c r="B70" s="9"/>
      <c r="C70" s="9"/>
      <c r="D70" s="9"/>
      <c r="E70" s="10"/>
      <c r="F70" s="9"/>
      <c r="G70" s="9"/>
    </row>
    <row r="71" spans="1:7" x14ac:dyDescent="0.45">
      <c r="A71" s="9"/>
      <c r="B71" s="9"/>
      <c r="C71" s="9"/>
      <c r="D71" s="9"/>
      <c r="E71" s="10"/>
      <c r="F71" s="9"/>
      <c r="G71" s="9"/>
    </row>
    <row r="72" spans="1:7" x14ac:dyDescent="0.45">
      <c r="A72" s="9"/>
      <c r="B72" s="9"/>
      <c r="C72" s="9"/>
      <c r="D72" s="9"/>
      <c r="E72" s="10"/>
      <c r="F72" s="9"/>
      <c r="G72" s="9"/>
    </row>
    <row r="73" spans="1:7" x14ac:dyDescent="0.45">
      <c r="A73" s="9"/>
      <c r="B73" s="9"/>
      <c r="C73" s="9"/>
      <c r="D73" s="9"/>
      <c r="E73" s="10"/>
      <c r="F73" s="9"/>
      <c r="G73" s="9"/>
    </row>
    <row r="74" spans="1:7" x14ac:dyDescent="0.45">
      <c r="A74" s="9"/>
      <c r="B74" s="9"/>
      <c r="C74" s="9"/>
      <c r="D74" s="9"/>
      <c r="E74" s="10"/>
      <c r="F74" s="9"/>
      <c r="G74" s="9"/>
    </row>
    <row r="75" spans="1:7" x14ac:dyDescent="0.45">
      <c r="A75" s="9"/>
      <c r="B75" s="9"/>
      <c r="C75" s="9"/>
      <c r="D75" s="9"/>
      <c r="E75" s="10"/>
      <c r="F75" s="9"/>
      <c r="G75" s="9"/>
    </row>
    <row r="76" spans="1:7" x14ac:dyDescent="0.45">
      <c r="A76" s="9"/>
      <c r="B76" s="9"/>
      <c r="C76" s="9"/>
      <c r="D76" s="9"/>
      <c r="E76" s="10"/>
      <c r="F76" s="9"/>
      <c r="G76" s="9"/>
    </row>
    <row r="77" spans="1:7" x14ac:dyDescent="0.45">
      <c r="A77" s="9"/>
      <c r="B77" s="9"/>
      <c r="C77" s="9"/>
      <c r="D77" s="9"/>
      <c r="E77" s="10"/>
      <c r="F77" s="9"/>
      <c r="G77" s="9"/>
    </row>
    <row r="78" spans="1:7" x14ac:dyDescent="0.45">
      <c r="A78" s="9"/>
      <c r="B78" s="9"/>
      <c r="C78" s="9"/>
      <c r="D78" s="9"/>
      <c r="E78" s="10"/>
      <c r="F78" s="9"/>
      <c r="G78" s="9"/>
    </row>
    <row r="79" spans="1:7" x14ac:dyDescent="0.45">
      <c r="A79" s="9"/>
      <c r="B79" s="9"/>
      <c r="C79" s="9"/>
      <c r="D79" s="9"/>
      <c r="E79" s="10"/>
      <c r="F79" s="9"/>
      <c r="G79" s="9"/>
    </row>
    <row r="80" spans="1:7" x14ac:dyDescent="0.45">
      <c r="A80" s="9"/>
      <c r="B80" s="9"/>
      <c r="C80" s="9"/>
      <c r="D80" s="9"/>
      <c r="E80" s="10"/>
      <c r="F80" s="9"/>
      <c r="G80" s="9"/>
    </row>
    <row r="81" spans="1:7" x14ac:dyDescent="0.45">
      <c r="A81" s="9"/>
      <c r="B81" s="9"/>
      <c r="C81" s="9"/>
      <c r="D81" s="9"/>
      <c r="E81" s="10"/>
      <c r="F81" s="9"/>
      <c r="G81" s="9"/>
    </row>
    <row r="82" spans="1:7" x14ac:dyDescent="0.45">
      <c r="A82" s="9"/>
      <c r="B82" s="9"/>
      <c r="C82" s="9"/>
      <c r="D82" s="9"/>
      <c r="E82" s="10"/>
      <c r="F82" s="9"/>
      <c r="G82" s="9"/>
    </row>
    <row r="83" spans="1:7" x14ac:dyDescent="0.45">
      <c r="A83" s="9"/>
      <c r="B83" s="9"/>
      <c r="C83" s="9"/>
      <c r="D83" s="9"/>
      <c r="E83" s="10"/>
      <c r="F83" s="9"/>
      <c r="G83" s="9"/>
    </row>
    <row r="84" spans="1:7" x14ac:dyDescent="0.45">
      <c r="A84" s="9"/>
      <c r="B84" s="9"/>
      <c r="C84" s="9"/>
      <c r="D84" s="9"/>
      <c r="E84" s="10"/>
      <c r="F84" s="9"/>
      <c r="G84" s="9"/>
    </row>
    <row r="85" spans="1:7" x14ac:dyDescent="0.45">
      <c r="A85" s="9"/>
      <c r="B85" s="9"/>
      <c r="C85" s="9"/>
      <c r="D85" s="9"/>
      <c r="E85" s="10"/>
      <c r="F85" s="9"/>
      <c r="G85" s="9"/>
    </row>
    <row r="86" spans="1:7" x14ac:dyDescent="0.45">
      <c r="A86" s="9"/>
      <c r="B86" s="9"/>
      <c r="C86" s="9"/>
      <c r="D86" s="9"/>
      <c r="E86" s="10"/>
      <c r="F86" s="9"/>
      <c r="G86" s="9"/>
    </row>
    <row r="87" spans="1:7" x14ac:dyDescent="0.45">
      <c r="A87" s="9"/>
      <c r="B87" s="9"/>
      <c r="C87" s="9"/>
      <c r="D87" s="9"/>
      <c r="E87" s="10"/>
      <c r="F87" s="9"/>
      <c r="G87" s="9"/>
    </row>
    <row r="88" spans="1:7" x14ac:dyDescent="0.45">
      <c r="A88" s="9"/>
      <c r="B88" s="9"/>
      <c r="C88" s="9"/>
      <c r="D88" s="9"/>
      <c r="E88" s="10"/>
      <c r="F88" s="9"/>
      <c r="G88" s="9"/>
    </row>
    <row r="89" spans="1:7" x14ac:dyDescent="0.45">
      <c r="A89" s="9"/>
      <c r="B89" s="9"/>
      <c r="C89" s="9"/>
      <c r="D89" s="9"/>
      <c r="E89" s="10"/>
      <c r="F89" s="9"/>
      <c r="G89" s="9"/>
    </row>
    <row r="90" spans="1:7" x14ac:dyDescent="0.45">
      <c r="A90" s="9"/>
      <c r="B90" s="9"/>
      <c r="C90" s="9"/>
      <c r="D90" s="9"/>
      <c r="E90" s="10"/>
      <c r="F90" s="9"/>
      <c r="G90" s="9"/>
    </row>
    <row r="91" spans="1:7" x14ac:dyDescent="0.45">
      <c r="A91" s="9"/>
      <c r="B91" s="9"/>
      <c r="C91" s="9"/>
      <c r="D91" s="9"/>
      <c r="E91" s="10"/>
      <c r="F91" s="9"/>
      <c r="G91" s="9"/>
    </row>
    <row r="92" spans="1:7" x14ac:dyDescent="0.45">
      <c r="A92" s="9"/>
      <c r="B92" s="9"/>
      <c r="C92" s="9"/>
      <c r="D92" s="9"/>
      <c r="E92" s="10"/>
      <c r="F92" s="9"/>
      <c r="G92" s="9"/>
    </row>
    <row r="93" spans="1:7" x14ac:dyDescent="0.45">
      <c r="A93" s="9"/>
      <c r="B93" s="9"/>
      <c r="C93" s="9"/>
      <c r="D93" s="9"/>
      <c r="E93" s="10"/>
      <c r="F93" s="9"/>
      <c r="G93" s="9"/>
    </row>
    <row r="94" spans="1:7" x14ac:dyDescent="0.45">
      <c r="A94" s="9"/>
      <c r="B94" s="9"/>
      <c r="C94" s="9"/>
      <c r="D94" s="9"/>
      <c r="E94" s="10"/>
      <c r="F94" s="9"/>
      <c r="G94" s="9"/>
    </row>
    <row r="95" spans="1:7" x14ac:dyDescent="0.45">
      <c r="A95" s="9"/>
      <c r="B95" s="9"/>
      <c r="C95" s="9"/>
      <c r="D95" s="9"/>
      <c r="E95" s="10"/>
      <c r="F95" s="9"/>
      <c r="G95" s="9"/>
    </row>
    <row r="96" spans="1:7" x14ac:dyDescent="0.45">
      <c r="A96" s="9"/>
      <c r="B96" s="9"/>
      <c r="C96" s="9"/>
      <c r="D96" s="9"/>
      <c r="E96" s="10"/>
      <c r="F96" s="9"/>
      <c r="G96" s="9"/>
    </row>
    <row r="97" spans="1:7" x14ac:dyDescent="0.45">
      <c r="A97" s="9"/>
      <c r="B97" s="9"/>
      <c r="C97" s="9"/>
      <c r="D97" s="9"/>
      <c r="E97" s="10"/>
      <c r="F97" s="9"/>
      <c r="G97" s="9"/>
    </row>
    <row r="98" spans="1:7" x14ac:dyDescent="0.45">
      <c r="A98" s="9"/>
      <c r="B98" s="9"/>
      <c r="C98" s="9"/>
      <c r="D98" s="9"/>
      <c r="E98" s="10"/>
      <c r="F98" s="9"/>
      <c r="G98" s="9"/>
    </row>
    <row r="99" spans="1:7" x14ac:dyDescent="0.45">
      <c r="A99" s="9"/>
      <c r="B99" s="9"/>
      <c r="C99" s="9"/>
      <c r="D99" s="9"/>
      <c r="E99" s="10"/>
      <c r="F99" s="9"/>
      <c r="G99" s="9"/>
    </row>
    <row r="100" spans="1:7" x14ac:dyDescent="0.45">
      <c r="A100" s="9"/>
      <c r="B100" s="9"/>
      <c r="C100" s="9"/>
      <c r="D100" s="9"/>
      <c r="E100" s="10"/>
      <c r="F100" s="9"/>
      <c r="G100" s="9"/>
    </row>
    <row r="101" spans="1:7" x14ac:dyDescent="0.45">
      <c r="A101" s="9"/>
      <c r="B101" s="9"/>
      <c r="C101" s="9"/>
      <c r="D101" s="9"/>
      <c r="E101" s="10"/>
      <c r="F101" s="9"/>
      <c r="G101" s="9"/>
    </row>
  </sheetData>
  <dataValidations count="3">
    <dataValidation type="list" allowBlank="1" sqref="D2:D200 F2:G200" xr:uid="{00000000-0002-0000-0500-000000000000}">
      <formula1>"SI,NO"</formula1>
    </dataValidation>
    <dataValidation type="list" allowBlank="1" sqref="C2:C200" xr:uid="{00000000-0002-0000-0500-000002000000}">
      <formula1>"FIJO,PORCENTAJE"</formula1>
    </dataValidation>
    <dataValidation type="list" allowBlank="1" sqref="D2:D200" xr:uid="{00000000-0002-0000-0500-000003000000}">
      <formula1>"SUELDO_BASE,TOTAL_PERCEPCIONES"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01"/>
  <sheetViews>
    <sheetView tabSelected="1" workbookViewId="0">
      <selection activeCell="A6" sqref="A6"/>
    </sheetView>
  </sheetViews>
  <sheetFormatPr baseColWidth="10" defaultColWidth="9.06640625" defaultRowHeight="14.25" x14ac:dyDescent="0.45"/>
  <cols>
    <col min="1" max="1" customWidth="true" width="12.0"/>
    <col min="2" max="4" customWidth="true" width="18.0"/>
    <col min="5" max="5" customWidth="true" width="28.0"/>
    <col min="6" max="7" customWidth="true" width="12.0"/>
    <col min="8" max="8" customWidth="true" width="22.0"/>
    <col min="9" max="9" customWidth="true" width="14.0"/>
    <col min="10" max="10" customWidth="true" width="12.0"/>
    <col min="11" max="11" customWidth="true" width="18.0"/>
    <col min="12" max="12" customWidth="true" width="24.0"/>
    <col min="13" max="13" customWidth="true" width="18.0"/>
    <col min="14" max="14" customWidth="true" width="16.0"/>
    <col min="15" max="16" customWidth="true" width="24.0"/>
  </cols>
  <sheetData>
    <row r="1" spans="1:21" x14ac:dyDescent="0.45">
      <c r="A1" s="3" t="s">
        <v>226</v>
      </c>
      <c r="B1" s="3" t="s">
        <v>227</v>
      </c>
      <c r="C1" s="3" t="s">
        <v>112</v>
      </c>
      <c r="D1" s="3" t="s">
        <v>99</v>
      </c>
      <c r="E1" s="3" t="s">
        <v>212</v>
      </c>
      <c r="F1" s="3" t="s">
        <v>228</v>
      </c>
      <c r="G1" s="3" t="s">
        <v>229</v>
      </c>
      <c r="H1" s="3" t="s">
        <v>103</v>
      </c>
      <c r="I1" s="3" t="s">
        <v>12</v>
      </c>
      <c r="J1" s="3" t="s">
        <v>13</v>
      </c>
      <c r="K1" s="3" t="s">
        <v>165</v>
      </c>
      <c r="L1" s="3" t="s">
        <v>166</v>
      </c>
      <c r="M1" s="3" t="s">
        <v>16</v>
      </c>
      <c r="N1" s="3" t="s">
        <v>17</v>
      </c>
      <c r="O1" s="3" t="s">
        <v>18</v>
      </c>
      <c r="P1" s="3" t="s">
        <v>19</v>
      </c>
      <c r="Q1" t="s" s="0">
        <v>6</v>
      </c>
      <c r="R1" t="s" s="0">
        <v>7</v>
      </c>
      <c r="S1" t="s" s="0">
        <v>8</v>
      </c>
      <c r="T1" t="s" s="0">
        <v>9</v>
      </c>
      <c r="U1" t="s" s="0">
        <v>10</v>
      </c>
    </row>
    <row r="2" spans="1:21" x14ac:dyDescent="0.45">
      <c r="A2" s="5" t="s">
        <v>176</v>
      </c>
      <c r="B2" s="5" t="s">
        <v>177</v>
      </c>
      <c r="C2" s="5" t="s">
        <v>178</v>
      </c>
      <c r="D2" s="5" t="s">
        <v>179</v>
      </c>
      <c r="E2" s="12" t="str">
        <f>IF(A2="","",TRIM(B2&amp;" "&amp;C2&amp;" "&amp;D2))</f>
        <v>Ana Lopez Ramirez</v>
      </c>
      <c r="F2" s="5" t="s">
        <v>29</v>
      </c>
      <c r="G2" s="5" t="s">
        <v>117</v>
      </c>
      <c r="H2" s="8">
        <v>0</v>
      </c>
      <c r="I2" s="13" t="s">
        <v>180</v>
      </c>
      <c r="J2" s="5" t="s">
        <v>181</v>
      </c>
      <c r="K2" s="5" t="s">
        <v>182</v>
      </c>
      <c r="L2" s="5" t="s">
        <v>183</v>
      </c>
      <c r="M2" s="14">
        <f>IF(A2="","",IF(H2&gt;0,H2,IFERROR(INDEX(Puestos!$C$2:$C$100,MATCH(F2,Puestos!$A$2:$A$100,0)),0)))</f>
        <v>12000</v>
      </c>
      <c r="N2" s="14">
        <f>IF(A2="","",IFERROR(INDEX(Puestos!$D$2:$D$100,MATCH(F2,Puestos!$A$2:$A$100,0)),0))</f>
        <v>1000</v>
      </c>
      <c r="O2" s="12" t="str">
        <f>IF(A2="","",IFERROR(INDEX(Puestos!$B$2:$B$100,MATCH(F2,Puestos!$A$2:$A$100,0)),""))</f>
        <v>Auxiliar Administrativo</v>
      </c>
      <c r="P2" s="12" t="str">
        <f>IF(A2="","",IFERROR(INDEX(Plazas!$B$2:$B$100,MATCH(G2,Plazas!$A$2:$A$100,0)),""))</f>
        <v>Administracion General</v>
      </c>
      <c r="Q2" t="s" s="0">
        <v>11</v>
      </c>
      <c r="R2" t="s" s="0">
        <v>11</v>
      </c>
      <c r="S2" t="s" s="0">
        <v>11</v>
      </c>
      <c r="T2" t="s" s="0">
        <v>11</v>
      </c>
      <c r="U2" t="s" s="0">
        <v>11</v>
      </c>
    </row>
    <row r="3" spans="1:21" x14ac:dyDescent="0.45">
      <c r="A3" s="5" t="s">
        <v>184</v>
      </c>
      <c r="B3" s="5" t="s">
        <v>185</v>
      </c>
      <c r="C3" s="5" t="s">
        <v>186</v>
      </c>
      <c r="D3" s="5" t="s">
        <v>187</v>
      </c>
      <c r="E3" s="12" t="str">
        <f>IF(A3="","",TRIM(B3&amp;" "&amp;C3&amp;" "&amp;D3))</f>
        <v>Luis Martinez Gomez</v>
      </c>
      <c r="F3" s="5" t="s">
        <v>105</v>
      </c>
      <c r="G3" s="5" t="s">
        <v>122</v>
      </c>
      <c r="H3" s="8">
        <v>0</v>
      </c>
      <c r="I3" s="13" t="s">
        <v>188</v>
      </c>
      <c r="J3" s="5" t="s">
        <v>181</v>
      </c>
      <c r="K3" s="5" t="s">
        <v>189</v>
      </c>
      <c r="L3" s="5" t="s">
        <v>190</v>
      </c>
      <c r="M3" s="14">
        <f>IF(A3="","",IF(H3&gt;0,H3,IFERROR(INDEX(Puestos!$C$2:$C$100,MATCH(F3,Puestos!$A$2:$A$100,0)),0)))</f>
        <v>18000</v>
      </c>
      <c r="N3" s="14">
        <f>IF(A3="","",IFERROR(INDEX(Puestos!$D$2:$D$100,MATCH(F3,Puestos!$A$2:$A$100,0)),0))</f>
        <v>1500</v>
      </c>
      <c r="O3" s="12" t="str">
        <f>IF(A3="","",IFERROR(INDEX(Puestos!$B$2:$B$100,MATCH(F3,Puestos!$A$2:$A$100,0)),""))</f>
        <v>Analista</v>
      </c>
      <c r="P3" s="12" t="str">
        <f>IF(A3="","",IFERROR(INDEX(Plazas!$B$2:$B$100,MATCH(G3,Plazas!$A$2:$A$100,0)),""))</f>
        <v>Analisis de Datos</v>
      </c>
      <c r="Q3" t="s" s="0">
        <v>11</v>
      </c>
      <c r="R3" t="s" s="0">
        <v>11</v>
      </c>
      <c r="S3" t="s" s="0">
        <v>11</v>
      </c>
      <c r="T3" t="s" s="0">
        <v>11</v>
      </c>
      <c r="U3" t="s" s="0">
        <v>11</v>
      </c>
    </row>
    <row r="4" spans="1:21" x14ac:dyDescent="0.45">
      <c r="A4" s="5" t="s">
        <v>191</v>
      </c>
      <c r="B4" s="5" t="s">
        <v>192</v>
      </c>
      <c r="C4" s="5" t="s">
        <v>193</v>
      </c>
      <c r="D4" s="5" t="s">
        <v>194</v>
      </c>
      <c r="E4" s="12" t="str">
        <f>IF(A4="","",TRIM(B4&amp;" "&amp;C4&amp;" "&amp;D4))</f>
        <v>Sofia Hernandez Perez</v>
      </c>
      <c r="F4" s="5" t="s">
        <v>107</v>
      </c>
      <c r="G4" s="5" t="s">
        <v>126</v>
      </c>
      <c r="H4" s="8">
        <v>28000</v>
      </c>
      <c r="I4" s="13" t="s">
        <v>195</v>
      </c>
      <c r="J4" s="5" t="s">
        <v>181</v>
      </c>
      <c r="K4" s="5" t="s">
        <v>196</v>
      </c>
      <c r="L4" s="5" t="s">
        <v>197</v>
      </c>
      <c r="M4" s="14">
        <f>IF(A4="","",IF(H4&gt;0,H4,IFERROR(INDEX(Puestos!$C$2:$C$100,MATCH(F4,Puestos!$A$2:$A$100,0)),0)))</f>
        <v>28000</v>
      </c>
      <c r="N4" s="14">
        <f>IF(A4="","",IFERROR(INDEX(Puestos!$D$2:$D$100,MATCH(F4,Puestos!$A$2:$A$100,0)),0))</f>
        <v>3000</v>
      </c>
      <c r="O4" s="12" t="str">
        <f>IF(A4="","",IFERROR(INDEX(Puestos!$B$2:$B$100,MATCH(F4,Puestos!$A$2:$A$100,0)),""))</f>
        <v>Supervisor</v>
      </c>
      <c r="P4" s="12" t="str">
        <f>IF(A4="","",IFERROR(INDEX(Plazas!$B$2:$B$100,MATCH(G4,Plazas!$A$2:$A$100,0)),""))</f>
        <v>Operacion Campo</v>
      </c>
      <c r="Q4" t="s" s="0">
        <v>11</v>
      </c>
      <c r="R4" t="s" s="0">
        <v>11</v>
      </c>
      <c r="S4" t="s" s="0">
        <v>11</v>
      </c>
      <c r="T4" t="s" s="0">
        <v>11</v>
      </c>
      <c r="U4" t="s" s="0">
        <v>11</v>
      </c>
    </row>
    <row r="5" spans="1:21" x14ac:dyDescent="0.45">
      <c r="A5" t="s" s="0">
        <v>26</v>
      </c>
      <c r="B5" t="s" s="0">
        <v>27</v>
      </c>
      <c r="C5" t="s" s="0">
        <v>28</v>
      </c>
      <c r="D5" t="s" s="0">
        <v>29</v>
      </c>
      <c r="E5" s="0">
        <v>0</v>
      </c>
      <c r="F5" t="b" s="0">
        <v>0</v>
      </c>
      <c r="G5" s="0">
        <v>5</v>
      </c>
      <c r="H5" t="b" s="0">
        <v>1</v>
      </c>
      <c r="I5" t="s" s="0">
        <v>30</v>
      </c>
      <c r="J5" t="s" s="0">
        <v>31</v>
      </c>
      <c r="K5" t="s" s="0">
        <v>32</v>
      </c>
      <c r="L5" t="s" s="0">
        <v>33</v>
      </c>
      <c r="M5" t="s" s="0">
        <v>34</v>
      </c>
      <c r="N5" t="s" s="0">
        <v>35</v>
      </c>
      <c r="O5" t="s" s="0">
        <v>36</v>
      </c>
      <c r="P5" t="s" s="0">
        <v>37</v>
      </c>
      <c r="Q5" t="s" s="0">
        <v>38</v>
      </c>
      <c r="R5" t="s" s="0">
        <v>39</v>
      </c>
      <c r="S5" t="s" s="0">
        <v>40</v>
      </c>
      <c r="T5" t="s" s="0">
        <v>41</v>
      </c>
      <c r="U5" t="s" s="0">
        <v>42</v>
      </c>
    </row>
    <row r="6" spans="1:21" x14ac:dyDescent="0.45">
      <c r="A6" s="9"/>
      <c r="B6" s="9"/>
      <c r="C6" s="9"/>
      <c r="D6" s="9"/>
      <c r="E6" s="12" t="str">
        <f t="shared" ref="E6:E37" si="0">IF(A6="","",TRIM(B6&amp;" "&amp;C6&amp;" "&amp;D6))</f>
        <v/>
      </c>
      <c r="F6" s="9"/>
      <c r="G6" s="9"/>
      <c r="H6" s="10"/>
      <c r="I6" s="15"/>
      <c r="J6" s="9"/>
      <c r="K6" s="9"/>
      <c r="L6" s="9"/>
      <c r="M6" s="14" t="str">
        <f>IF(A6="","",IF(H6&gt;0,H6,IFERROR(INDEX(Puestos!$C$2:$C$100,MATCH(F6,Puestos!$A$2:$A$100,0)),0)))</f>
        <v/>
      </c>
      <c r="N6" s="14" t="str">
        <f>IF(A6="","",IFERROR(INDEX(Puestos!$D$2:$D$100,MATCH(F6,Puestos!$A$2:$A$100,0)),0))</f>
        <v/>
      </c>
      <c r="O6" s="12" t="str">
        <f>IF(A6="","",IFERROR(INDEX(Puestos!$B$2:$B$100,MATCH(F6,Puestos!$A$2:$A$100,0)),""))</f>
        <v/>
      </c>
      <c r="P6" s="12" t="str">
        <f>IF(A6="","",IFERROR(INDEX(Plazas!$B$2:$B$100,MATCH(G6,Plazas!$A$2:$A$100,0)),""))</f>
        <v/>
      </c>
      <c r="Q6" t="s" s="0">
        <v>11</v>
      </c>
      <c r="R6" t="s" s="0">
        <v>11</v>
      </c>
      <c r="S6" t="s" s="0">
        <v>11</v>
      </c>
      <c r="T6" t="s" s="0">
        <v>11</v>
      </c>
      <c r="U6" t="s" s="0">
        <v>11</v>
      </c>
    </row>
    <row r="7" spans="1:21" x14ac:dyDescent="0.45">
      <c r="A7" s="9"/>
      <c r="B7" s="9"/>
      <c r="C7" s="9"/>
      <c r="D7" s="9"/>
      <c r="E7" s="12" t="str">
        <f t="shared" si="0"/>
        <v/>
      </c>
      <c r="F7" s="9"/>
      <c r="G7" s="9"/>
      <c r="H7" s="10"/>
      <c r="I7" s="15"/>
      <c r="J7" s="9"/>
      <c r="K7" s="9"/>
      <c r="L7" s="9"/>
      <c r="M7" s="14" t="str">
        <f>IF(A7="","",IF(H7&gt;0,H7,IFERROR(INDEX(Puestos!$C$2:$C$100,MATCH(F7,Puestos!$A$2:$A$100,0)),0)))</f>
        <v/>
      </c>
      <c r="N7" s="14" t="str">
        <f>IF(A7="","",IFERROR(INDEX(Puestos!$D$2:$D$100,MATCH(F7,Puestos!$A$2:$A$100,0)),0))</f>
        <v/>
      </c>
      <c r="O7" s="12" t="str">
        <f>IF(A7="","",IFERROR(INDEX(Puestos!$B$2:$B$100,MATCH(F7,Puestos!$A$2:$A$100,0)),""))</f>
        <v/>
      </c>
      <c r="P7" s="12" t="str">
        <f>IF(A7="","",IFERROR(INDEX(Plazas!$B$2:$B$100,MATCH(G7,Plazas!$A$2:$A$100,0)),""))</f>
        <v/>
      </c>
      <c r="Q7" t="s" s="0">
        <v>11</v>
      </c>
      <c r="R7" t="s" s="0">
        <v>11</v>
      </c>
      <c r="S7" t="s" s="0">
        <v>11</v>
      </c>
      <c r="T7" t="s" s="0">
        <v>11</v>
      </c>
      <c r="U7" t="s" s="0">
        <v>11</v>
      </c>
    </row>
    <row r="8" spans="1:21" x14ac:dyDescent="0.45">
      <c r="A8" s="9"/>
      <c r="B8" s="9"/>
      <c r="C8" s="9"/>
      <c r="D8" s="9"/>
      <c r="E8" s="12" t="str">
        <f t="shared" si="0"/>
        <v/>
      </c>
      <c r="F8" s="9"/>
      <c r="G8" s="9"/>
      <c r="H8" s="10"/>
      <c r="I8" s="15"/>
      <c r="J8" s="9"/>
      <c r="K8" s="9"/>
      <c r="L8" s="9"/>
      <c r="M8" s="14" t="str">
        <f>IF(A8="","",IF(H8&gt;0,H8,IFERROR(INDEX(Puestos!$C$2:$C$100,MATCH(F8,Puestos!$A$2:$A$100,0)),0)))</f>
        <v/>
      </c>
      <c r="N8" s="14" t="str">
        <f>IF(A8="","",IFERROR(INDEX(Puestos!$D$2:$D$100,MATCH(F8,Puestos!$A$2:$A$100,0)),0))</f>
        <v/>
      </c>
      <c r="O8" s="12" t="str">
        <f>IF(A8="","",IFERROR(INDEX(Puestos!$B$2:$B$100,MATCH(F8,Puestos!$A$2:$A$100,0)),""))</f>
        <v/>
      </c>
      <c r="P8" s="12" t="str">
        <f>IF(A8="","",IFERROR(INDEX(Plazas!$B$2:$B$100,MATCH(G8,Plazas!$A$2:$A$100,0)),""))</f>
        <v/>
      </c>
      <c r="Q8" t="s" s="0">
        <v>11</v>
      </c>
      <c r="R8" t="s" s="0">
        <v>11</v>
      </c>
      <c r="S8" t="s" s="0">
        <v>11</v>
      </c>
      <c r="T8" t="s" s="0">
        <v>11</v>
      </c>
      <c r="U8" t="s" s="0">
        <v>11</v>
      </c>
    </row>
    <row r="9" spans="1:21" x14ac:dyDescent="0.45">
      <c r="A9" s="9"/>
      <c r="B9" s="9"/>
      <c r="C9" s="9"/>
      <c r="D9" s="9"/>
      <c r="E9" s="12" t="str">
        <f t="shared" si="0"/>
        <v/>
      </c>
      <c r="F9" s="9"/>
      <c r="G9" s="9"/>
      <c r="H9" s="10"/>
      <c r="I9" s="15"/>
      <c r="J9" s="9"/>
      <c r="K9" s="9"/>
      <c r="L9" s="9"/>
      <c r="M9" s="14" t="str">
        <f>IF(A9="","",IF(H9&gt;0,H9,IFERROR(INDEX(Puestos!$C$2:$C$100,MATCH(F9,Puestos!$A$2:$A$100,0)),0)))</f>
        <v/>
      </c>
      <c r="N9" s="14" t="str">
        <f>IF(A9="","",IFERROR(INDEX(Puestos!$D$2:$D$100,MATCH(F9,Puestos!$A$2:$A$100,0)),0))</f>
        <v/>
      </c>
      <c r="O9" s="12" t="str">
        <f>IF(A9="","",IFERROR(INDEX(Puestos!$B$2:$B$100,MATCH(F9,Puestos!$A$2:$A$100,0)),""))</f>
        <v/>
      </c>
      <c r="P9" s="12" t="str">
        <f>IF(A9="","",IFERROR(INDEX(Plazas!$B$2:$B$100,MATCH(G9,Plazas!$A$2:$A$100,0)),""))</f>
        <v/>
      </c>
      <c r="Q9" t="s" s="0">
        <v>11</v>
      </c>
      <c r="R9" t="s" s="0">
        <v>11</v>
      </c>
      <c r="S9" t="s" s="0">
        <v>11</v>
      </c>
      <c r="T9" t="s" s="0">
        <v>11</v>
      </c>
      <c r="U9" t="s" s="0">
        <v>11</v>
      </c>
    </row>
    <row r="10" spans="1:21" x14ac:dyDescent="0.45">
      <c r="A10" s="9"/>
      <c r="B10" s="9"/>
      <c r="C10" s="9"/>
      <c r="D10" s="9"/>
      <c r="E10" s="12" t="str">
        <f t="shared" si="0"/>
        <v/>
      </c>
      <c r="F10" s="9"/>
      <c r="G10" s="9"/>
      <c r="H10" s="10"/>
      <c r="I10" s="15"/>
      <c r="J10" s="9"/>
      <c r="K10" s="9"/>
      <c r="L10" s="9"/>
      <c r="M10" s="14" t="str">
        <f>IF(A10="","",IF(H10&gt;0,H10,IFERROR(INDEX(Puestos!$C$2:$C$100,MATCH(F10,Puestos!$A$2:$A$100,0)),0)))</f>
        <v/>
      </c>
      <c r="N10" s="14" t="str">
        <f>IF(A10="","",IFERROR(INDEX(Puestos!$D$2:$D$100,MATCH(F10,Puestos!$A$2:$A$100,0)),0))</f>
        <v/>
      </c>
      <c r="O10" s="12" t="str">
        <f>IF(A10="","",IFERROR(INDEX(Puestos!$B$2:$B$100,MATCH(F10,Puestos!$A$2:$A$100,0)),""))</f>
        <v/>
      </c>
      <c r="P10" s="12" t="str">
        <f>IF(A10="","",IFERROR(INDEX(Plazas!$B$2:$B$100,MATCH(G10,Plazas!$A$2:$A$100,0)),""))</f>
        <v/>
      </c>
      <c r="Q10" t="s" s="0">
        <v>11</v>
      </c>
      <c r="R10" t="s" s="0">
        <v>11</v>
      </c>
      <c r="S10" t="s" s="0">
        <v>11</v>
      </c>
      <c r="T10" t="s" s="0">
        <v>11</v>
      </c>
      <c r="U10" t="s" s="0">
        <v>11</v>
      </c>
    </row>
    <row r="11" spans="1:21" x14ac:dyDescent="0.45">
      <c r="A11" s="9"/>
      <c r="B11" s="9"/>
      <c r="C11" s="9"/>
      <c r="D11" s="9"/>
      <c r="E11" s="12" t="str">
        <f t="shared" si="0"/>
        <v/>
      </c>
      <c r="F11" s="9"/>
      <c r="G11" s="9"/>
      <c r="H11" s="10"/>
      <c r="I11" s="15"/>
      <c r="J11" s="9"/>
      <c r="K11" s="9"/>
      <c r="L11" s="9"/>
      <c r="M11" s="14" t="str">
        <f>IF(A11="","",IF(H11&gt;0,H11,IFERROR(INDEX(Puestos!$C$2:$C$100,MATCH(F11,Puestos!$A$2:$A$100,0)),0)))</f>
        <v/>
      </c>
      <c r="N11" s="14" t="str">
        <f>IF(A11="","",IFERROR(INDEX(Puestos!$D$2:$D$100,MATCH(F11,Puestos!$A$2:$A$100,0)),0))</f>
        <v/>
      </c>
      <c r="O11" s="12" t="str">
        <f>IF(A11="","",IFERROR(INDEX(Puestos!$B$2:$B$100,MATCH(F11,Puestos!$A$2:$A$100,0)),""))</f>
        <v/>
      </c>
      <c r="P11" s="12" t="str">
        <f>IF(A11="","",IFERROR(INDEX(Plazas!$B$2:$B$100,MATCH(G11,Plazas!$A$2:$A$100,0)),""))</f>
        <v/>
      </c>
      <c r="Q11" t="s" s="0">
        <v>11</v>
      </c>
      <c r="R11" t="s" s="0">
        <v>11</v>
      </c>
      <c r="S11" t="s" s="0">
        <v>11</v>
      </c>
      <c r="T11" t="s" s="0">
        <v>11</v>
      </c>
      <c r="U11" t="s" s="0">
        <v>11</v>
      </c>
    </row>
    <row r="12" spans="1:21" x14ac:dyDescent="0.45">
      <c r="A12" s="9"/>
      <c r="B12" s="9"/>
      <c r="C12" s="9"/>
      <c r="D12" s="9"/>
      <c r="E12" s="12" t="str">
        <f t="shared" si="0"/>
        <v/>
      </c>
      <c r="F12" s="9"/>
      <c r="G12" s="9"/>
      <c r="H12" s="10"/>
      <c r="I12" s="15"/>
      <c r="J12" s="9"/>
      <c r="K12" s="9"/>
      <c r="L12" s="9"/>
      <c r="M12" s="14" t="str">
        <f>IF(A12="","",IF(H12&gt;0,H12,IFERROR(INDEX(Puestos!$C$2:$C$100,MATCH(F12,Puestos!$A$2:$A$100,0)),0)))</f>
        <v/>
      </c>
      <c r="N12" s="14" t="str">
        <f>IF(A12="","",IFERROR(INDEX(Puestos!$D$2:$D$100,MATCH(F12,Puestos!$A$2:$A$100,0)),0))</f>
        <v/>
      </c>
      <c r="O12" s="12" t="str">
        <f>IF(A12="","",IFERROR(INDEX(Puestos!$B$2:$B$100,MATCH(F12,Puestos!$A$2:$A$100,0)),""))</f>
        <v/>
      </c>
      <c r="P12" s="12" t="str">
        <f>IF(A12="","",IFERROR(INDEX(Plazas!$B$2:$B$100,MATCH(G12,Plazas!$A$2:$A$100,0)),""))</f>
        <v/>
      </c>
      <c r="Q12" t="s" s="0">
        <v>11</v>
      </c>
      <c r="R12" t="s" s="0">
        <v>11</v>
      </c>
      <c r="S12" t="s" s="0">
        <v>11</v>
      </c>
      <c r="T12" t="s" s="0">
        <v>11</v>
      </c>
      <c r="U12" t="s" s="0">
        <v>11</v>
      </c>
    </row>
    <row r="13" spans="1:21" x14ac:dyDescent="0.45">
      <c r="A13" s="9"/>
      <c r="B13" s="9"/>
      <c r="C13" s="9"/>
      <c r="D13" s="9"/>
      <c r="E13" s="12" t="str">
        <f t="shared" si="0"/>
        <v/>
      </c>
      <c r="F13" s="9"/>
      <c r="G13" s="9"/>
      <c r="H13" s="10"/>
      <c r="I13" s="15"/>
      <c r="J13" s="9"/>
      <c r="K13" s="9"/>
      <c r="L13" s="9"/>
      <c r="M13" s="14" t="str">
        <f>IF(A13="","",IF(H13&gt;0,H13,IFERROR(INDEX(Puestos!$C$2:$C$100,MATCH(F13,Puestos!$A$2:$A$100,0)),0)))</f>
        <v/>
      </c>
      <c r="N13" s="14" t="str">
        <f>IF(A13="","",IFERROR(INDEX(Puestos!$D$2:$D$100,MATCH(F13,Puestos!$A$2:$A$100,0)),0))</f>
        <v/>
      </c>
      <c r="O13" s="12" t="str">
        <f>IF(A13="","",IFERROR(INDEX(Puestos!$B$2:$B$100,MATCH(F13,Puestos!$A$2:$A$100,0)),""))</f>
        <v/>
      </c>
      <c r="P13" s="12" t="str">
        <f>IF(A13="","",IFERROR(INDEX(Plazas!$B$2:$B$100,MATCH(G13,Plazas!$A$2:$A$100,0)),""))</f>
        <v/>
      </c>
      <c r="Q13" t="s" s="0">
        <v>11</v>
      </c>
      <c r="R13" t="s" s="0">
        <v>11</v>
      </c>
      <c r="S13" t="s" s="0">
        <v>11</v>
      </c>
      <c r="T13" t="s" s="0">
        <v>11</v>
      </c>
      <c r="U13" t="s" s="0">
        <v>11</v>
      </c>
    </row>
    <row r="14" spans="1:21" x14ac:dyDescent="0.45">
      <c r="A14" s="9"/>
      <c r="B14" s="9"/>
      <c r="C14" s="9"/>
      <c r="D14" s="9"/>
      <c r="E14" s="12" t="str">
        <f t="shared" si="0"/>
        <v/>
      </c>
      <c r="F14" s="9"/>
      <c r="G14" s="9"/>
      <c r="H14" s="10"/>
      <c r="I14" s="15"/>
      <c r="J14" s="9"/>
      <c r="K14" s="9"/>
      <c r="L14" s="9"/>
      <c r="M14" s="14" t="str">
        <f>IF(A14="","",IF(H14&gt;0,H14,IFERROR(INDEX(Puestos!$C$2:$C$100,MATCH(F14,Puestos!$A$2:$A$100,0)),0)))</f>
        <v/>
      </c>
      <c r="N14" s="14" t="str">
        <f>IF(A14="","",IFERROR(INDEX(Puestos!$D$2:$D$100,MATCH(F14,Puestos!$A$2:$A$100,0)),0))</f>
        <v/>
      </c>
      <c r="O14" s="12" t="str">
        <f>IF(A14="","",IFERROR(INDEX(Puestos!$B$2:$B$100,MATCH(F14,Puestos!$A$2:$A$100,0)),""))</f>
        <v/>
      </c>
      <c r="P14" s="12" t="str">
        <f>IF(A14="","",IFERROR(INDEX(Plazas!$B$2:$B$100,MATCH(G14,Plazas!$A$2:$A$100,0)),""))</f>
        <v/>
      </c>
      <c r="Q14" t="s" s="0">
        <v>11</v>
      </c>
      <c r="R14" t="s" s="0">
        <v>11</v>
      </c>
      <c r="S14" t="s" s="0">
        <v>11</v>
      </c>
      <c r="T14" t="s" s="0">
        <v>11</v>
      </c>
      <c r="U14" t="s" s="0">
        <v>11</v>
      </c>
    </row>
    <row r="15" spans="1:21" x14ac:dyDescent="0.45">
      <c r="A15" s="9"/>
      <c r="B15" s="9"/>
      <c r="C15" s="9"/>
      <c r="D15" s="9"/>
      <c r="E15" s="12" t="str">
        <f t="shared" si="0"/>
        <v/>
      </c>
      <c r="F15" s="9"/>
      <c r="G15" s="9"/>
      <c r="H15" s="10"/>
      <c r="I15" s="15"/>
      <c r="J15" s="9"/>
      <c r="K15" s="9"/>
      <c r="L15" s="9"/>
      <c r="M15" s="14" t="str">
        <f>IF(A15="","",IF(H15&gt;0,H15,IFERROR(INDEX(Puestos!$C$2:$C$100,MATCH(F15,Puestos!$A$2:$A$100,0)),0)))</f>
        <v/>
      </c>
      <c r="N15" s="14" t="str">
        <f>IF(A15="","",IFERROR(INDEX(Puestos!$D$2:$D$100,MATCH(F15,Puestos!$A$2:$A$100,0)),0))</f>
        <v/>
      </c>
      <c r="O15" s="12" t="str">
        <f>IF(A15="","",IFERROR(INDEX(Puestos!$B$2:$B$100,MATCH(F15,Puestos!$A$2:$A$100,0)),""))</f>
        <v/>
      </c>
      <c r="P15" s="12" t="str">
        <f>IF(A15="","",IFERROR(INDEX(Plazas!$B$2:$B$100,MATCH(G15,Plazas!$A$2:$A$100,0)),""))</f>
        <v/>
      </c>
      <c r="Q15" t="s" s="0">
        <v>11</v>
      </c>
      <c r="R15" t="s" s="0">
        <v>11</v>
      </c>
      <c r="S15" t="s" s="0">
        <v>11</v>
      </c>
      <c r="T15" t="s" s="0">
        <v>11</v>
      </c>
      <c r="U15" t="s" s="0">
        <v>11</v>
      </c>
    </row>
    <row r="16" spans="1:21" x14ac:dyDescent="0.45">
      <c r="A16" s="9"/>
      <c r="B16" s="9"/>
      <c r="C16" s="9"/>
      <c r="D16" s="9"/>
      <c r="E16" s="12" t="str">
        <f t="shared" si="0"/>
        <v/>
      </c>
      <c r="F16" s="9"/>
      <c r="G16" s="9"/>
      <c r="H16" s="10"/>
      <c r="I16" s="15"/>
      <c r="J16" s="9"/>
      <c r="K16" s="9"/>
      <c r="L16" s="9"/>
      <c r="M16" s="14" t="str">
        <f>IF(A16="","",IF(H16&gt;0,H16,IFERROR(INDEX(Puestos!$C$2:$C$100,MATCH(F16,Puestos!$A$2:$A$100,0)),0)))</f>
        <v/>
      </c>
      <c r="N16" s="14" t="str">
        <f>IF(A16="","",IFERROR(INDEX(Puestos!$D$2:$D$100,MATCH(F16,Puestos!$A$2:$A$100,0)),0))</f>
        <v/>
      </c>
      <c r="O16" s="12" t="str">
        <f>IF(A16="","",IFERROR(INDEX(Puestos!$B$2:$B$100,MATCH(F16,Puestos!$A$2:$A$100,0)),""))</f>
        <v/>
      </c>
      <c r="P16" s="12" t="str">
        <f>IF(A16="","",IFERROR(INDEX(Plazas!$B$2:$B$100,MATCH(G16,Plazas!$A$2:$A$100,0)),""))</f>
        <v/>
      </c>
      <c r="Q16" t="s" s="0">
        <v>11</v>
      </c>
      <c r="R16" t="s" s="0">
        <v>11</v>
      </c>
      <c r="S16" t="s" s="0">
        <v>11</v>
      </c>
      <c r="T16" t="s" s="0">
        <v>11</v>
      </c>
      <c r="U16" t="s" s="0">
        <v>11</v>
      </c>
    </row>
    <row r="17" spans="1:21" x14ac:dyDescent="0.45">
      <c r="A17" s="9"/>
      <c r="B17" s="9"/>
      <c r="C17" s="9"/>
      <c r="D17" s="9"/>
      <c r="E17" s="12" t="str">
        <f t="shared" si="0"/>
        <v/>
      </c>
      <c r="F17" s="9"/>
      <c r="G17" s="9"/>
      <c r="H17" s="10"/>
      <c r="I17" s="15"/>
      <c r="J17" s="9"/>
      <c r="K17" s="9"/>
      <c r="L17" s="9"/>
      <c r="M17" s="14" t="str">
        <f>IF(A17="","",IF(H17&gt;0,H17,IFERROR(INDEX(Puestos!$C$2:$C$100,MATCH(F17,Puestos!$A$2:$A$100,0)),0)))</f>
        <v/>
      </c>
      <c r="N17" s="14" t="str">
        <f>IF(A17="","",IFERROR(INDEX(Puestos!$D$2:$D$100,MATCH(F17,Puestos!$A$2:$A$100,0)),0))</f>
        <v/>
      </c>
      <c r="O17" s="12" t="str">
        <f>IF(A17="","",IFERROR(INDEX(Puestos!$B$2:$B$100,MATCH(F17,Puestos!$A$2:$A$100,0)),""))</f>
        <v/>
      </c>
      <c r="P17" s="12" t="str">
        <f>IF(A17="","",IFERROR(INDEX(Plazas!$B$2:$B$100,MATCH(G17,Plazas!$A$2:$A$100,0)),""))</f>
        <v/>
      </c>
      <c r="Q17" t="s" s="0">
        <v>11</v>
      </c>
      <c r="R17" t="s" s="0">
        <v>11</v>
      </c>
      <c r="S17" t="s" s="0">
        <v>11</v>
      </c>
      <c r="T17" t="s" s="0">
        <v>11</v>
      </c>
      <c r="U17" t="s" s="0">
        <v>11</v>
      </c>
    </row>
    <row r="18" spans="1:21" x14ac:dyDescent="0.45">
      <c r="A18" s="9"/>
      <c r="B18" s="9"/>
      <c r="C18" s="9"/>
      <c r="D18" s="9"/>
      <c r="E18" s="12" t="str">
        <f t="shared" si="0"/>
        <v/>
      </c>
      <c r="F18" s="9"/>
      <c r="G18" s="9"/>
      <c r="H18" s="10"/>
      <c r="I18" s="15"/>
      <c r="J18" s="9"/>
      <c r="K18" s="9"/>
      <c r="L18" s="9"/>
      <c r="M18" s="14" t="str">
        <f>IF(A18="","",IF(H18&gt;0,H18,IFERROR(INDEX(Puestos!$C$2:$C$100,MATCH(F18,Puestos!$A$2:$A$100,0)),0)))</f>
        <v/>
      </c>
      <c r="N18" s="14" t="str">
        <f>IF(A18="","",IFERROR(INDEX(Puestos!$D$2:$D$100,MATCH(F18,Puestos!$A$2:$A$100,0)),0))</f>
        <v/>
      </c>
      <c r="O18" s="12" t="str">
        <f>IF(A18="","",IFERROR(INDEX(Puestos!$B$2:$B$100,MATCH(F18,Puestos!$A$2:$A$100,0)),""))</f>
        <v/>
      </c>
      <c r="P18" s="12" t="str">
        <f>IF(A18="","",IFERROR(INDEX(Plazas!$B$2:$B$100,MATCH(G18,Plazas!$A$2:$A$100,0)),""))</f>
        <v/>
      </c>
      <c r="Q18" t="s" s="0">
        <v>11</v>
      </c>
      <c r="R18" t="s" s="0">
        <v>11</v>
      </c>
      <c r="S18" t="s" s="0">
        <v>11</v>
      </c>
      <c r="T18" t="s" s="0">
        <v>11</v>
      </c>
      <c r="U18" t="s" s="0">
        <v>11</v>
      </c>
    </row>
    <row r="19" spans="1:21" x14ac:dyDescent="0.45">
      <c r="A19" s="9"/>
      <c r="B19" s="9"/>
      <c r="C19" s="9"/>
      <c r="D19" s="9"/>
      <c r="E19" s="12" t="str">
        <f t="shared" si="0"/>
        <v/>
      </c>
      <c r="F19" s="9"/>
      <c r="G19" s="9"/>
      <c r="H19" s="10"/>
      <c r="I19" s="15"/>
      <c r="J19" s="9"/>
      <c r="K19" s="9"/>
      <c r="L19" s="9"/>
      <c r="M19" s="14" t="str">
        <f>IF(A19="","",IF(H19&gt;0,H19,IFERROR(INDEX(Puestos!$C$2:$C$100,MATCH(F19,Puestos!$A$2:$A$100,0)),0)))</f>
        <v/>
      </c>
      <c r="N19" s="14" t="str">
        <f>IF(A19="","",IFERROR(INDEX(Puestos!$D$2:$D$100,MATCH(F19,Puestos!$A$2:$A$100,0)),0))</f>
        <v/>
      </c>
      <c r="O19" s="12" t="str">
        <f>IF(A19="","",IFERROR(INDEX(Puestos!$B$2:$B$100,MATCH(F19,Puestos!$A$2:$A$100,0)),""))</f>
        <v/>
      </c>
      <c r="P19" s="12" t="str">
        <f>IF(A19="","",IFERROR(INDEX(Plazas!$B$2:$B$100,MATCH(G19,Plazas!$A$2:$A$100,0)),""))</f>
        <v/>
      </c>
      <c r="Q19" t="s" s="0">
        <v>11</v>
      </c>
      <c r="R19" t="s" s="0">
        <v>11</v>
      </c>
      <c r="S19" t="s" s="0">
        <v>11</v>
      </c>
      <c r="T19" t="s" s="0">
        <v>11</v>
      </c>
      <c r="U19" t="s" s="0">
        <v>11</v>
      </c>
    </row>
    <row r="20" spans="1:21" x14ac:dyDescent="0.45">
      <c r="A20" s="9"/>
      <c r="B20" s="9"/>
      <c r="C20" s="9"/>
      <c r="D20" s="9"/>
      <c r="E20" s="12" t="str">
        <f t="shared" si="0"/>
        <v/>
      </c>
      <c r="F20" s="9"/>
      <c r="G20" s="9"/>
      <c r="H20" s="10"/>
      <c r="I20" s="15"/>
      <c r="J20" s="9"/>
      <c r="K20" s="9"/>
      <c r="L20" s="9"/>
      <c r="M20" s="14" t="str">
        <f>IF(A20="","",IF(H20&gt;0,H20,IFERROR(INDEX(Puestos!$C$2:$C$100,MATCH(F20,Puestos!$A$2:$A$100,0)),0)))</f>
        <v/>
      </c>
      <c r="N20" s="14" t="str">
        <f>IF(A20="","",IFERROR(INDEX(Puestos!$D$2:$D$100,MATCH(F20,Puestos!$A$2:$A$100,0)),0))</f>
        <v/>
      </c>
      <c r="O20" s="12" t="str">
        <f>IF(A20="","",IFERROR(INDEX(Puestos!$B$2:$B$100,MATCH(F20,Puestos!$A$2:$A$100,0)),""))</f>
        <v/>
      </c>
      <c r="P20" s="12" t="str">
        <f>IF(A20="","",IFERROR(INDEX(Plazas!$B$2:$B$100,MATCH(G20,Plazas!$A$2:$A$100,0)),""))</f>
        <v/>
      </c>
      <c r="Q20" t="s" s="0">
        <v>11</v>
      </c>
      <c r="R20" t="s" s="0">
        <v>11</v>
      </c>
      <c r="S20" t="s" s="0">
        <v>11</v>
      </c>
      <c r="T20" t="s" s="0">
        <v>11</v>
      </c>
      <c r="U20" t="s" s="0">
        <v>11</v>
      </c>
    </row>
    <row r="21" spans="1:21" x14ac:dyDescent="0.45">
      <c r="A21" s="9"/>
      <c r="B21" s="9"/>
      <c r="C21" s="9"/>
      <c r="D21" s="9"/>
      <c r="E21" s="12" t="str">
        <f t="shared" si="0"/>
        <v/>
      </c>
      <c r="F21" s="9"/>
      <c r="G21" s="9"/>
      <c r="H21" s="10"/>
      <c r="I21" s="15"/>
      <c r="J21" s="9"/>
      <c r="K21" s="9"/>
      <c r="L21" s="9"/>
      <c r="M21" s="14" t="str">
        <f>IF(A21="","",IF(H21&gt;0,H21,IFERROR(INDEX(Puestos!$C$2:$C$100,MATCH(F21,Puestos!$A$2:$A$100,0)),0)))</f>
        <v/>
      </c>
      <c r="N21" s="14" t="str">
        <f>IF(A21="","",IFERROR(INDEX(Puestos!$D$2:$D$100,MATCH(F21,Puestos!$A$2:$A$100,0)),0))</f>
        <v/>
      </c>
      <c r="O21" s="12" t="str">
        <f>IF(A21="","",IFERROR(INDEX(Puestos!$B$2:$B$100,MATCH(F21,Puestos!$A$2:$A$100,0)),""))</f>
        <v/>
      </c>
      <c r="P21" s="12" t="str">
        <f>IF(A21="","",IFERROR(INDEX(Plazas!$B$2:$B$100,MATCH(G21,Plazas!$A$2:$A$100,0)),""))</f>
        <v/>
      </c>
      <c r="Q21" t="s" s="0">
        <v>11</v>
      </c>
      <c r="R21" t="s" s="0">
        <v>11</v>
      </c>
      <c r="S21" t="s" s="0">
        <v>11</v>
      </c>
      <c r="T21" t="s" s="0">
        <v>11</v>
      </c>
      <c r="U21" t="s" s="0">
        <v>11</v>
      </c>
    </row>
    <row r="22" spans="1:21" x14ac:dyDescent="0.45">
      <c r="A22" s="9"/>
      <c r="B22" s="9"/>
      <c r="C22" s="9"/>
      <c r="D22" s="9"/>
      <c r="E22" s="12" t="str">
        <f t="shared" si="0"/>
        <v/>
      </c>
      <c r="F22" s="9"/>
      <c r="G22" s="9"/>
      <c r="H22" s="10"/>
      <c r="I22" s="15"/>
      <c r="J22" s="9"/>
      <c r="K22" s="9"/>
      <c r="L22" s="9"/>
      <c r="M22" s="14" t="str">
        <f>IF(A22="","",IF(H22&gt;0,H22,IFERROR(INDEX(Puestos!$C$2:$C$100,MATCH(F22,Puestos!$A$2:$A$100,0)),0)))</f>
        <v/>
      </c>
      <c r="N22" s="14" t="str">
        <f>IF(A22="","",IFERROR(INDEX(Puestos!$D$2:$D$100,MATCH(F22,Puestos!$A$2:$A$100,0)),0))</f>
        <v/>
      </c>
      <c r="O22" s="12" t="str">
        <f>IF(A22="","",IFERROR(INDEX(Puestos!$B$2:$B$100,MATCH(F22,Puestos!$A$2:$A$100,0)),""))</f>
        <v/>
      </c>
      <c r="P22" s="12" t="str">
        <f>IF(A22="","",IFERROR(INDEX(Plazas!$B$2:$B$100,MATCH(G22,Plazas!$A$2:$A$100,0)),""))</f>
        <v/>
      </c>
      <c r="Q22" t="s" s="0">
        <v>11</v>
      </c>
      <c r="R22" t="s" s="0">
        <v>11</v>
      </c>
      <c r="S22" t="s" s="0">
        <v>11</v>
      </c>
      <c r="T22" t="s" s="0">
        <v>11</v>
      </c>
      <c r="U22" t="s" s="0">
        <v>11</v>
      </c>
    </row>
    <row r="23" spans="1:21" x14ac:dyDescent="0.45">
      <c r="A23" s="9"/>
      <c r="B23" s="9"/>
      <c r="C23" s="9"/>
      <c r="D23" s="9"/>
      <c r="E23" s="12" t="str">
        <f t="shared" si="0"/>
        <v/>
      </c>
      <c r="F23" s="9"/>
      <c r="G23" s="9"/>
      <c r="H23" s="10"/>
      <c r="I23" s="15"/>
      <c r="J23" s="9"/>
      <c r="K23" s="9"/>
      <c r="L23" s="9"/>
      <c r="M23" s="14" t="str">
        <f>IF(A23="","",IF(H23&gt;0,H23,IFERROR(INDEX(Puestos!$C$2:$C$100,MATCH(F23,Puestos!$A$2:$A$100,0)),0)))</f>
        <v/>
      </c>
      <c r="N23" s="14" t="str">
        <f>IF(A23="","",IFERROR(INDEX(Puestos!$D$2:$D$100,MATCH(F23,Puestos!$A$2:$A$100,0)),0))</f>
        <v/>
      </c>
      <c r="O23" s="12" t="str">
        <f>IF(A23="","",IFERROR(INDEX(Puestos!$B$2:$B$100,MATCH(F23,Puestos!$A$2:$A$100,0)),""))</f>
        <v/>
      </c>
      <c r="P23" s="12" t="str">
        <f>IF(A23="","",IFERROR(INDEX(Plazas!$B$2:$B$100,MATCH(G23,Plazas!$A$2:$A$100,0)),""))</f>
        <v/>
      </c>
      <c r="Q23" t="s" s="0">
        <v>11</v>
      </c>
      <c r="R23" t="s" s="0">
        <v>11</v>
      </c>
      <c r="S23" t="s" s="0">
        <v>11</v>
      </c>
      <c r="T23" t="s" s="0">
        <v>11</v>
      </c>
      <c r="U23" t="s" s="0">
        <v>11</v>
      </c>
    </row>
    <row r="24" spans="1:21" x14ac:dyDescent="0.45">
      <c r="A24" s="9"/>
      <c r="B24" s="9"/>
      <c r="C24" s="9"/>
      <c r="D24" s="9"/>
      <c r="E24" s="12" t="str">
        <f t="shared" si="0"/>
        <v/>
      </c>
      <c r="F24" s="9"/>
      <c r="G24" s="9"/>
      <c r="H24" s="10"/>
      <c r="I24" s="15"/>
      <c r="J24" s="9"/>
      <c r="K24" s="9"/>
      <c r="L24" s="9"/>
      <c r="M24" s="14" t="str">
        <f>IF(A24="","",IF(H24&gt;0,H24,IFERROR(INDEX(Puestos!$C$2:$C$100,MATCH(F24,Puestos!$A$2:$A$100,0)),0)))</f>
        <v/>
      </c>
      <c r="N24" s="14" t="str">
        <f>IF(A24="","",IFERROR(INDEX(Puestos!$D$2:$D$100,MATCH(F24,Puestos!$A$2:$A$100,0)),0))</f>
        <v/>
      </c>
      <c r="O24" s="12" t="str">
        <f>IF(A24="","",IFERROR(INDEX(Puestos!$B$2:$B$100,MATCH(F24,Puestos!$A$2:$A$100,0)),""))</f>
        <v/>
      </c>
      <c r="P24" s="12" t="str">
        <f>IF(A24="","",IFERROR(INDEX(Plazas!$B$2:$B$100,MATCH(G24,Plazas!$A$2:$A$100,0)),""))</f>
        <v/>
      </c>
      <c r="Q24" t="s" s="0">
        <v>11</v>
      </c>
      <c r="R24" t="s" s="0">
        <v>11</v>
      </c>
      <c r="S24" t="s" s="0">
        <v>11</v>
      </c>
      <c r="T24" t="s" s="0">
        <v>11</v>
      </c>
      <c r="U24" t="s" s="0">
        <v>11</v>
      </c>
    </row>
    <row r="25" spans="1:21" x14ac:dyDescent="0.45">
      <c r="A25" s="9"/>
      <c r="B25" s="9"/>
      <c r="C25" s="9"/>
      <c r="D25" s="9"/>
      <c r="E25" s="12" t="str">
        <f t="shared" si="0"/>
        <v/>
      </c>
      <c r="F25" s="9"/>
      <c r="G25" s="9"/>
      <c r="H25" s="10"/>
      <c r="I25" s="15"/>
      <c r="J25" s="9"/>
      <c r="K25" s="9"/>
      <c r="L25" s="9"/>
      <c r="M25" s="14" t="str">
        <f>IF(A25="","",IF(H25&gt;0,H25,IFERROR(INDEX(Puestos!$C$2:$C$100,MATCH(F25,Puestos!$A$2:$A$100,0)),0)))</f>
        <v/>
      </c>
      <c r="N25" s="14" t="str">
        <f>IF(A25="","",IFERROR(INDEX(Puestos!$D$2:$D$100,MATCH(F25,Puestos!$A$2:$A$100,0)),0))</f>
        <v/>
      </c>
      <c r="O25" s="12" t="str">
        <f>IF(A25="","",IFERROR(INDEX(Puestos!$B$2:$B$100,MATCH(F25,Puestos!$A$2:$A$100,0)),""))</f>
        <v/>
      </c>
      <c r="P25" s="12" t="str">
        <f>IF(A25="","",IFERROR(INDEX(Plazas!$B$2:$B$100,MATCH(G25,Plazas!$A$2:$A$100,0)),""))</f>
        <v/>
      </c>
      <c r="Q25" t="s" s="0">
        <v>11</v>
      </c>
      <c r="R25" t="s" s="0">
        <v>11</v>
      </c>
      <c r="S25" t="s" s="0">
        <v>11</v>
      </c>
      <c r="T25" t="s" s="0">
        <v>11</v>
      </c>
      <c r="U25" t="s" s="0">
        <v>11</v>
      </c>
    </row>
    <row r="26" spans="1:21" x14ac:dyDescent="0.45">
      <c r="A26" s="9"/>
      <c r="B26" s="9"/>
      <c r="C26" s="9"/>
      <c r="D26" s="9"/>
      <c r="E26" s="12" t="str">
        <f t="shared" si="0"/>
        <v/>
      </c>
      <c r="F26" s="9"/>
      <c r="G26" s="9"/>
      <c r="H26" s="10"/>
      <c r="I26" s="15"/>
      <c r="J26" s="9"/>
      <c r="K26" s="9"/>
      <c r="L26" s="9"/>
      <c r="M26" s="14" t="str">
        <f>IF(A26="","",IF(H26&gt;0,H26,IFERROR(INDEX(Puestos!$C$2:$C$100,MATCH(F26,Puestos!$A$2:$A$100,0)),0)))</f>
        <v/>
      </c>
      <c r="N26" s="14" t="str">
        <f>IF(A26="","",IFERROR(INDEX(Puestos!$D$2:$D$100,MATCH(F26,Puestos!$A$2:$A$100,0)),0))</f>
        <v/>
      </c>
      <c r="O26" s="12" t="str">
        <f>IF(A26="","",IFERROR(INDEX(Puestos!$B$2:$B$100,MATCH(F26,Puestos!$A$2:$A$100,0)),""))</f>
        <v/>
      </c>
      <c r="P26" s="12" t="str">
        <f>IF(A26="","",IFERROR(INDEX(Plazas!$B$2:$B$100,MATCH(G26,Plazas!$A$2:$A$100,0)),""))</f>
        <v/>
      </c>
      <c r="Q26" t="s" s="0">
        <v>11</v>
      </c>
      <c r="R26" t="s" s="0">
        <v>11</v>
      </c>
      <c r="S26" t="s" s="0">
        <v>11</v>
      </c>
      <c r="T26" t="s" s="0">
        <v>11</v>
      </c>
      <c r="U26" t="s" s="0">
        <v>11</v>
      </c>
    </row>
    <row r="27" spans="1:21" x14ac:dyDescent="0.45">
      <c r="A27" s="9"/>
      <c r="B27" s="9"/>
      <c r="C27" s="9"/>
      <c r="D27" s="9"/>
      <c r="E27" s="12" t="str">
        <f t="shared" si="0"/>
        <v/>
      </c>
      <c r="F27" s="9"/>
      <c r="G27" s="9"/>
      <c r="H27" s="10"/>
      <c r="I27" s="15"/>
      <c r="J27" s="9"/>
      <c r="K27" s="9"/>
      <c r="L27" s="9"/>
      <c r="M27" s="14" t="str">
        <f>IF(A27="","",IF(H27&gt;0,H27,IFERROR(INDEX(Puestos!$C$2:$C$100,MATCH(F27,Puestos!$A$2:$A$100,0)),0)))</f>
        <v/>
      </c>
      <c r="N27" s="14" t="str">
        <f>IF(A27="","",IFERROR(INDEX(Puestos!$D$2:$D$100,MATCH(F27,Puestos!$A$2:$A$100,0)),0))</f>
        <v/>
      </c>
      <c r="O27" s="12" t="str">
        <f>IF(A27="","",IFERROR(INDEX(Puestos!$B$2:$B$100,MATCH(F27,Puestos!$A$2:$A$100,0)),""))</f>
        <v/>
      </c>
      <c r="P27" s="12" t="str">
        <f>IF(A27="","",IFERROR(INDEX(Plazas!$B$2:$B$100,MATCH(G27,Plazas!$A$2:$A$100,0)),""))</f>
        <v/>
      </c>
      <c r="Q27" t="s" s="0">
        <v>11</v>
      </c>
      <c r="R27" t="s" s="0">
        <v>11</v>
      </c>
      <c r="S27" t="s" s="0">
        <v>11</v>
      </c>
      <c r="T27" t="s" s="0">
        <v>11</v>
      </c>
      <c r="U27" t="s" s="0">
        <v>11</v>
      </c>
    </row>
    <row r="28" spans="1:21" x14ac:dyDescent="0.45">
      <c r="A28" s="9"/>
      <c r="B28" s="9"/>
      <c r="C28" s="9"/>
      <c r="D28" s="9"/>
      <c r="E28" s="12" t="str">
        <f t="shared" si="0"/>
        <v/>
      </c>
      <c r="F28" s="9"/>
      <c r="G28" s="9"/>
      <c r="H28" s="10"/>
      <c r="I28" s="15"/>
      <c r="J28" s="9"/>
      <c r="K28" s="9"/>
      <c r="L28" s="9"/>
      <c r="M28" s="14" t="str">
        <f>IF(A28="","",IF(H28&gt;0,H28,IFERROR(INDEX(Puestos!$C$2:$C$100,MATCH(F28,Puestos!$A$2:$A$100,0)),0)))</f>
        <v/>
      </c>
      <c r="N28" s="14" t="str">
        <f>IF(A28="","",IFERROR(INDEX(Puestos!$D$2:$D$100,MATCH(F28,Puestos!$A$2:$A$100,0)),0))</f>
        <v/>
      </c>
      <c r="O28" s="12" t="str">
        <f>IF(A28="","",IFERROR(INDEX(Puestos!$B$2:$B$100,MATCH(F28,Puestos!$A$2:$A$100,0)),""))</f>
        <v/>
      </c>
      <c r="P28" s="12" t="str">
        <f>IF(A28="","",IFERROR(INDEX(Plazas!$B$2:$B$100,MATCH(G28,Plazas!$A$2:$A$100,0)),""))</f>
        <v/>
      </c>
      <c r="Q28" t="s" s="0">
        <v>11</v>
      </c>
      <c r="R28" t="s" s="0">
        <v>11</v>
      </c>
      <c r="S28" t="s" s="0">
        <v>11</v>
      </c>
      <c r="T28" t="s" s="0">
        <v>11</v>
      </c>
      <c r="U28" t="s" s="0">
        <v>11</v>
      </c>
    </row>
    <row r="29" spans="1:21" x14ac:dyDescent="0.45">
      <c r="A29" s="9"/>
      <c r="B29" s="9"/>
      <c r="C29" s="9"/>
      <c r="D29" s="9"/>
      <c r="E29" s="12" t="str">
        <f t="shared" si="0"/>
        <v/>
      </c>
      <c r="F29" s="9"/>
      <c r="G29" s="9"/>
      <c r="H29" s="10"/>
      <c r="I29" s="15"/>
      <c r="J29" s="9"/>
      <c r="K29" s="9"/>
      <c r="L29" s="9"/>
      <c r="M29" s="14" t="str">
        <f>IF(A29="","",IF(H29&gt;0,H29,IFERROR(INDEX(Puestos!$C$2:$C$100,MATCH(F29,Puestos!$A$2:$A$100,0)),0)))</f>
        <v/>
      </c>
      <c r="N29" s="14" t="str">
        <f>IF(A29="","",IFERROR(INDEX(Puestos!$D$2:$D$100,MATCH(F29,Puestos!$A$2:$A$100,0)),0))</f>
        <v/>
      </c>
      <c r="O29" s="12" t="str">
        <f>IF(A29="","",IFERROR(INDEX(Puestos!$B$2:$B$100,MATCH(F29,Puestos!$A$2:$A$100,0)),""))</f>
        <v/>
      </c>
      <c r="P29" s="12" t="str">
        <f>IF(A29="","",IFERROR(INDEX(Plazas!$B$2:$B$100,MATCH(G29,Plazas!$A$2:$A$100,0)),""))</f>
        <v/>
      </c>
      <c r="Q29" t="s" s="0">
        <v>11</v>
      </c>
      <c r="R29" t="s" s="0">
        <v>11</v>
      </c>
      <c r="S29" t="s" s="0">
        <v>11</v>
      </c>
      <c r="T29" t="s" s="0">
        <v>11</v>
      </c>
      <c r="U29" t="s" s="0">
        <v>11</v>
      </c>
    </row>
    <row r="30" spans="1:21" x14ac:dyDescent="0.45">
      <c r="A30" s="9"/>
      <c r="B30" s="9"/>
      <c r="C30" s="9"/>
      <c r="D30" s="9"/>
      <c r="E30" s="12" t="str">
        <f t="shared" si="0"/>
        <v/>
      </c>
      <c r="F30" s="9"/>
      <c r="G30" s="9"/>
      <c r="H30" s="10"/>
      <c r="I30" s="15"/>
      <c r="J30" s="9"/>
      <c r="K30" s="9"/>
      <c r="L30" s="9"/>
      <c r="M30" s="14" t="str">
        <f>IF(A30="","",IF(H30&gt;0,H30,IFERROR(INDEX(Puestos!$C$2:$C$100,MATCH(F30,Puestos!$A$2:$A$100,0)),0)))</f>
        <v/>
      </c>
      <c r="N30" s="14" t="str">
        <f>IF(A30="","",IFERROR(INDEX(Puestos!$D$2:$D$100,MATCH(F30,Puestos!$A$2:$A$100,0)),0))</f>
        <v/>
      </c>
      <c r="O30" s="12" t="str">
        <f>IF(A30="","",IFERROR(INDEX(Puestos!$B$2:$B$100,MATCH(F30,Puestos!$A$2:$A$100,0)),""))</f>
        <v/>
      </c>
      <c r="P30" s="12" t="str">
        <f>IF(A30="","",IFERROR(INDEX(Plazas!$B$2:$B$100,MATCH(G30,Plazas!$A$2:$A$100,0)),""))</f>
        <v/>
      </c>
      <c r="Q30" t="s" s="0">
        <v>11</v>
      </c>
      <c r="R30" t="s" s="0">
        <v>11</v>
      </c>
      <c r="S30" t="s" s="0">
        <v>11</v>
      </c>
      <c r="T30" t="s" s="0">
        <v>11</v>
      </c>
      <c r="U30" t="s" s="0">
        <v>11</v>
      </c>
    </row>
    <row r="31" spans="1:21" x14ac:dyDescent="0.45">
      <c r="A31" s="9"/>
      <c r="B31" s="9"/>
      <c r="C31" s="9"/>
      <c r="D31" s="9"/>
      <c r="E31" s="12" t="str">
        <f t="shared" si="0"/>
        <v/>
      </c>
      <c r="F31" s="9"/>
      <c r="G31" s="9"/>
      <c r="H31" s="10"/>
      <c r="I31" s="15"/>
      <c r="J31" s="9"/>
      <c r="K31" s="9"/>
      <c r="L31" s="9"/>
      <c r="M31" s="14" t="str">
        <f>IF(A31="","",IF(H31&gt;0,H31,IFERROR(INDEX(Puestos!$C$2:$C$100,MATCH(F31,Puestos!$A$2:$A$100,0)),0)))</f>
        <v/>
      </c>
      <c r="N31" s="14" t="str">
        <f>IF(A31="","",IFERROR(INDEX(Puestos!$D$2:$D$100,MATCH(F31,Puestos!$A$2:$A$100,0)),0))</f>
        <v/>
      </c>
      <c r="O31" s="12" t="str">
        <f>IF(A31="","",IFERROR(INDEX(Puestos!$B$2:$B$100,MATCH(F31,Puestos!$A$2:$A$100,0)),""))</f>
        <v/>
      </c>
      <c r="P31" s="12" t="str">
        <f>IF(A31="","",IFERROR(INDEX(Plazas!$B$2:$B$100,MATCH(G31,Plazas!$A$2:$A$100,0)),""))</f>
        <v/>
      </c>
      <c r="Q31" t="s" s="0">
        <v>11</v>
      </c>
      <c r="R31" t="s" s="0">
        <v>11</v>
      </c>
      <c r="S31" t="s" s="0">
        <v>11</v>
      </c>
      <c r="T31" t="s" s="0">
        <v>11</v>
      </c>
      <c r="U31" t="s" s="0">
        <v>11</v>
      </c>
    </row>
    <row r="32" spans="1:21" x14ac:dyDescent="0.45">
      <c r="A32" s="9"/>
      <c r="B32" s="9"/>
      <c r="C32" s="9"/>
      <c r="D32" s="9"/>
      <c r="E32" s="12" t="str">
        <f t="shared" si="0"/>
        <v/>
      </c>
      <c r="F32" s="9"/>
      <c r="G32" s="9"/>
      <c r="H32" s="10"/>
      <c r="I32" s="15"/>
      <c r="J32" s="9"/>
      <c r="K32" s="9"/>
      <c r="L32" s="9"/>
      <c r="M32" s="14" t="str">
        <f>IF(A32="","",IF(H32&gt;0,H32,IFERROR(INDEX(Puestos!$C$2:$C$100,MATCH(F32,Puestos!$A$2:$A$100,0)),0)))</f>
        <v/>
      </c>
      <c r="N32" s="14" t="str">
        <f>IF(A32="","",IFERROR(INDEX(Puestos!$D$2:$D$100,MATCH(F32,Puestos!$A$2:$A$100,0)),0))</f>
        <v/>
      </c>
      <c r="O32" s="12" t="str">
        <f>IF(A32="","",IFERROR(INDEX(Puestos!$B$2:$B$100,MATCH(F32,Puestos!$A$2:$A$100,0)),""))</f>
        <v/>
      </c>
      <c r="P32" s="12" t="str">
        <f>IF(A32="","",IFERROR(INDEX(Plazas!$B$2:$B$100,MATCH(G32,Plazas!$A$2:$A$100,0)),""))</f>
        <v/>
      </c>
      <c r="Q32" t="s" s="0">
        <v>11</v>
      </c>
      <c r="R32" t="s" s="0">
        <v>11</v>
      </c>
      <c r="S32" t="s" s="0">
        <v>11</v>
      </c>
      <c r="T32" t="s" s="0">
        <v>11</v>
      </c>
      <c r="U32" t="s" s="0">
        <v>11</v>
      </c>
    </row>
    <row r="33" spans="1:21" x14ac:dyDescent="0.45">
      <c r="A33" s="9"/>
      <c r="B33" s="9"/>
      <c r="C33" s="9"/>
      <c r="D33" s="9"/>
      <c r="E33" s="12" t="str">
        <f t="shared" si="0"/>
        <v/>
      </c>
      <c r="F33" s="9"/>
      <c r="G33" s="9"/>
      <c r="H33" s="10"/>
      <c r="I33" s="15"/>
      <c r="J33" s="9"/>
      <c r="K33" s="9"/>
      <c r="L33" s="9"/>
      <c r="M33" s="14" t="str">
        <f>IF(A33="","",IF(H33&gt;0,H33,IFERROR(INDEX(Puestos!$C$2:$C$100,MATCH(F33,Puestos!$A$2:$A$100,0)),0)))</f>
        <v/>
      </c>
      <c r="N33" s="14" t="str">
        <f>IF(A33="","",IFERROR(INDEX(Puestos!$D$2:$D$100,MATCH(F33,Puestos!$A$2:$A$100,0)),0))</f>
        <v/>
      </c>
      <c r="O33" s="12" t="str">
        <f>IF(A33="","",IFERROR(INDEX(Puestos!$B$2:$B$100,MATCH(F33,Puestos!$A$2:$A$100,0)),""))</f>
        <v/>
      </c>
      <c r="P33" s="12" t="str">
        <f>IF(A33="","",IFERROR(INDEX(Plazas!$B$2:$B$100,MATCH(G33,Plazas!$A$2:$A$100,0)),""))</f>
        <v/>
      </c>
      <c r="Q33" t="s" s="0">
        <v>11</v>
      </c>
      <c r="R33" t="s" s="0">
        <v>11</v>
      </c>
      <c r="S33" t="s" s="0">
        <v>11</v>
      </c>
      <c r="T33" t="s" s="0">
        <v>11</v>
      </c>
      <c r="U33" t="s" s="0">
        <v>11</v>
      </c>
    </row>
    <row r="34" spans="1:21" x14ac:dyDescent="0.45">
      <c r="A34" s="9"/>
      <c r="B34" s="9"/>
      <c r="C34" s="9"/>
      <c r="D34" s="9"/>
      <c r="E34" s="12" t="str">
        <f t="shared" si="0"/>
        <v/>
      </c>
      <c r="F34" s="9"/>
      <c r="G34" s="9"/>
      <c r="H34" s="10"/>
      <c r="I34" s="15"/>
      <c r="J34" s="9"/>
      <c r="K34" s="9"/>
      <c r="L34" s="9"/>
      <c r="M34" s="14" t="str">
        <f>IF(A34="","",IF(H34&gt;0,H34,IFERROR(INDEX(Puestos!$C$2:$C$100,MATCH(F34,Puestos!$A$2:$A$100,0)),0)))</f>
        <v/>
      </c>
      <c r="N34" s="14" t="str">
        <f>IF(A34="","",IFERROR(INDEX(Puestos!$D$2:$D$100,MATCH(F34,Puestos!$A$2:$A$100,0)),0))</f>
        <v/>
      </c>
      <c r="O34" s="12" t="str">
        <f>IF(A34="","",IFERROR(INDEX(Puestos!$B$2:$B$100,MATCH(F34,Puestos!$A$2:$A$100,0)),""))</f>
        <v/>
      </c>
      <c r="P34" s="12" t="str">
        <f>IF(A34="","",IFERROR(INDEX(Plazas!$B$2:$B$100,MATCH(G34,Plazas!$A$2:$A$100,0)),""))</f>
        <v/>
      </c>
      <c r="Q34" t="s" s="0">
        <v>11</v>
      </c>
      <c r="R34" t="s" s="0">
        <v>11</v>
      </c>
      <c r="S34" t="s" s="0">
        <v>11</v>
      </c>
      <c r="T34" t="s" s="0">
        <v>11</v>
      </c>
      <c r="U34" t="s" s="0">
        <v>11</v>
      </c>
    </row>
    <row r="35" spans="1:21" x14ac:dyDescent="0.45">
      <c r="A35" s="9"/>
      <c r="B35" s="9"/>
      <c r="C35" s="9"/>
      <c r="D35" s="9"/>
      <c r="E35" s="12" t="str">
        <f t="shared" si="0"/>
        <v/>
      </c>
      <c r="F35" s="9"/>
      <c r="G35" s="9"/>
      <c r="H35" s="10"/>
      <c r="I35" s="15"/>
      <c r="J35" s="9"/>
      <c r="K35" s="9"/>
      <c r="L35" s="9"/>
      <c r="M35" s="14" t="str">
        <f>IF(A35="","",IF(H35&gt;0,H35,IFERROR(INDEX(Puestos!$C$2:$C$100,MATCH(F35,Puestos!$A$2:$A$100,0)),0)))</f>
        <v/>
      </c>
      <c r="N35" s="14" t="str">
        <f>IF(A35="","",IFERROR(INDEX(Puestos!$D$2:$D$100,MATCH(F35,Puestos!$A$2:$A$100,0)),0))</f>
        <v/>
      </c>
      <c r="O35" s="12" t="str">
        <f>IF(A35="","",IFERROR(INDEX(Puestos!$B$2:$B$100,MATCH(F35,Puestos!$A$2:$A$100,0)),""))</f>
        <v/>
      </c>
      <c r="P35" s="12" t="str">
        <f>IF(A35="","",IFERROR(INDEX(Plazas!$B$2:$B$100,MATCH(G35,Plazas!$A$2:$A$100,0)),""))</f>
        <v/>
      </c>
      <c r="Q35" t="s" s="0">
        <v>11</v>
      </c>
      <c r="R35" t="s" s="0">
        <v>11</v>
      </c>
      <c r="S35" t="s" s="0">
        <v>11</v>
      </c>
      <c r="T35" t="s" s="0">
        <v>11</v>
      </c>
      <c r="U35" t="s" s="0">
        <v>11</v>
      </c>
    </row>
    <row r="36" spans="1:21" x14ac:dyDescent="0.45">
      <c r="A36" s="9"/>
      <c r="B36" s="9"/>
      <c r="C36" s="9"/>
      <c r="D36" s="9"/>
      <c r="E36" s="12" t="str">
        <f t="shared" si="0"/>
        <v/>
      </c>
      <c r="F36" s="9"/>
      <c r="G36" s="9"/>
      <c r="H36" s="10"/>
      <c r="I36" s="15"/>
      <c r="J36" s="9"/>
      <c r="K36" s="9"/>
      <c r="L36" s="9"/>
      <c r="M36" s="14" t="str">
        <f>IF(A36="","",IF(H36&gt;0,H36,IFERROR(INDEX(Puestos!$C$2:$C$100,MATCH(F36,Puestos!$A$2:$A$100,0)),0)))</f>
        <v/>
      </c>
      <c r="N36" s="14" t="str">
        <f>IF(A36="","",IFERROR(INDEX(Puestos!$D$2:$D$100,MATCH(F36,Puestos!$A$2:$A$100,0)),0))</f>
        <v/>
      </c>
      <c r="O36" s="12" t="str">
        <f>IF(A36="","",IFERROR(INDEX(Puestos!$B$2:$B$100,MATCH(F36,Puestos!$A$2:$A$100,0)),""))</f>
        <v/>
      </c>
      <c r="P36" s="12" t="str">
        <f>IF(A36="","",IFERROR(INDEX(Plazas!$B$2:$B$100,MATCH(G36,Plazas!$A$2:$A$100,0)),""))</f>
        <v/>
      </c>
      <c r="Q36" t="s" s="0">
        <v>11</v>
      </c>
      <c r="R36" t="s" s="0">
        <v>11</v>
      </c>
      <c r="S36" t="s" s="0">
        <v>11</v>
      </c>
      <c r="T36" t="s" s="0">
        <v>11</v>
      </c>
      <c r="U36" t="s" s="0">
        <v>11</v>
      </c>
    </row>
    <row r="37" spans="1:21" x14ac:dyDescent="0.45">
      <c r="A37" s="9"/>
      <c r="B37" s="9"/>
      <c r="C37" s="9"/>
      <c r="D37" s="9"/>
      <c r="E37" s="12" t="str">
        <f t="shared" si="0"/>
        <v/>
      </c>
      <c r="F37" s="9"/>
      <c r="G37" s="9"/>
      <c r="H37" s="10"/>
      <c r="I37" s="15"/>
      <c r="J37" s="9"/>
      <c r="K37" s="9"/>
      <c r="L37" s="9"/>
      <c r="M37" s="14" t="str">
        <f>IF(A37="","",IF(H37&gt;0,H37,IFERROR(INDEX(Puestos!$C$2:$C$100,MATCH(F37,Puestos!$A$2:$A$100,0)),0)))</f>
        <v/>
      </c>
      <c r="N37" s="14" t="str">
        <f>IF(A37="","",IFERROR(INDEX(Puestos!$D$2:$D$100,MATCH(F37,Puestos!$A$2:$A$100,0)),0))</f>
        <v/>
      </c>
      <c r="O37" s="12" t="str">
        <f>IF(A37="","",IFERROR(INDEX(Puestos!$B$2:$B$100,MATCH(F37,Puestos!$A$2:$A$100,0)),""))</f>
        <v/>
      </c>
      <c r="P37" s="12" t="str">
        <f>IF(A37="","",IFERROR(INDEX(Plazas!$B$2:$B$100,MATCH(G37,Plazas!$A$2:$A$100,0)),""))</f>
        <v/>
      </c>
      <c r="Q37" t="s" s="0">
        <v>11</v>
      </c>
      <c r="R37" t="s" s="0">
        <v>11</v>
      </c>
      <c r="S37" t="s" s="0">
        <v>11</v>
      </c>
      <c r="T37" t="s" s="0">
        <v>11</v>
      </c>
      <c r="U37" t="s" s="0">
        <v>11</v>
      </c>
    </row>
    <row r="38" spans="1:21" x14ac:dyDescent="0.45">
      <c r="A38" s="9"/>
      <c r="B38" s="9"/>
      <c r="C38" s="9"/>
      <c r="D38" s="9"/>
      <c r="E38" s="12" t="str">
        <f t="shared" ref="E38:E69" si="1">IF(A38="","",TRIM(B38&amp;" "&amp;C38&amp;" "&amp;D38))</f>
        <v/>
      </c>
      <c r="F38" s="9"/>
      <c r="G38" s="9"/>
      <c r="H38" s="10"/>
      <c r="I38" s="15"/>
      <c r="J38" s="9"/>
      <c r="K38" s="9"/>
      <c r="L38" s="9"/>
      <c r="M38" s="14" t="str">
        <f>IF(A38="","",IF(H38&gt;0,H38,IFERROR(INDEX(Puestos!$C$2:$C$100,MATCH(F38,Puestos!$A$2:$A$100,0)),0)))</f>
        <v/>
      </c>
      <c r="N38" s="14" t="str">
        <f>IF(A38="","",IFERROR(INDEX(Puestos!$D$2:$D$100,MATCH(F38,Puestos!$A$2:$A$100,0)),0))</f>
        <v/>
      </c>
      <c r="O38" s="12" t="str">
        <f>IF(A38="","",IFERROR(INDEX(Puestos!$B$2:$B$100,MATCH(F38,Puestos!$A$2:$A$100,0)),""))</f>
        <v/>
      </c>
      <c r="P38" s="12" t="str">
        <f>IF(A38="","",IFERROR(INDEX(Plazas!$B$2:$B$100,MATCH(G38,Plazas!$A$2:$A$100,0)),""))</f>
        <v/>
      </c>
      <c r="Q38" t="s" s="0">
        <v>11</v>
      </c>
      <c r="R38" t="s" s="0">
        <v>11</v>
      </c>
      <c r="S38" t="s" s="0">
        <v>11</v>
      </c>
      <c r="T38" t="s" s="0">
        <v>11</v>
      </c>
      <c r="U38" t="s" s="0">
        <v>11</v>
      </c>
    </row>
    <row r="39" spans="1:21" x14ac:dyDescent="0.45">
      <c r="A39" s="9"/>
      <c r="B39" s="9"/>
      <c r="C39" s="9"/>
      <c r="D39" s="9"/>
      <c r="E39" s="12" t="str">
        <f t="shared" si="1"/>
        <v/>
      </c>
      <c r="F39" s="9"/>
      <c r="G39" s="9"/>
      <c r="H39" s="10"/>
      <c r="I39" s="15"/>
      <c r="J39" s="9"/>
      <c r="K39" s="9"/>
      <c r="L39" s="9"/>
      <c r="M39" s="14" t="str">
        <f>IF(A39="","",IF(H39&gt;0,H39,IFERROR(INDEX(Puestos!$C$2:$C$100,MATCH(F39,Puestos!$A$2:$A$100,0)),0)))</f>
        <v/>
      </c>
      <c r="N39" s="14" t="str">
        <f>IF(A39="","",IFERROR(INDEX(Puestos!$D$2:$D$100,MATCH(F39,Puestos!$A$2:$A$100,0)),0))</f>
        <v/>
      </c>
      <c r="O39" s="12" t="str">
        <f>IF(A39="","",IFERROR(INDEX(Puestos!$B$2:$B$100,MATCH(F39,Puestos!$A$2:$A$100,0)),""))</f>
        <v/>
      </c>
      <c r="P39" s="12" t="str">
        <f>IF(A39="","",IFERROR(INDEX(Plazas!$B$2:$B$100,MATCH(G39,Plazas!$A$2:$A$100,0)),""))</f>
        <v/>
      </c>
      <c r="Q39" t="s" s="0">
        <v>11</v>
      </c>
      <c r="R39" t="s" s="0">
        <v>11</v>
      </c>
      <c r="S39" t="s" s="0">
        <v>11</v>
      </c>
      <c r="T39" t="s" s="0">
        <v>11</v>
      </c>
      <c r="U39" t="s" s="0">
        <v>11</v>
      </c>
    </row>
    <row r="40" spans="1:21" x14ac:dyDescent="0.45">
      <c r="A40" s="9"/>
      <c r="B40" s="9"/>
      <c r="C40" s="9"/>
      <c r="D40" s="9"/>
      <c r="E40" s="12" t="str">
        <f t="shared" si="1"/>
        <v/>
      </c>
      <c r="F40" s="9"/>
      <c r="G40" s="9"/>
      <c r="H40" s="10"/>
      <c r="I40" s="15"/>
      <c r="J40" s="9"/>
      <c r="K40" s="9"/>
      <c r="L40" s="9"/>
      <c r="M40" s="14" t="str">
        <f>IF(A40="","",IF(H40&gt;0,H40,IFERROR(INDEX(Puestos!$C$2:$C$100,MATCH(F40,Puestos!$A$2:$A$100,0)),0)))</f>
        <v/>
      </c>
      <c r="N40" s="14" t="str">
        <f>IF(A40="","",IFERROR(INDEX(Puestos!$D$2:$D$100,MATCH(F40,Puestos!$A$2:$A$100,0)),0))</f>
        <v/>
      </c>
      <c r="O40" s="12" t="str">
        <f>IF(A40="","",IFERROR(INDEX(Puestos!$B$2:$B$100,MATCH(F40,Puestos!$A$2:$A$100,0)),""))</f>
        <v/>
      </c>
      <c r="P40" s="12" t="str">
        <f>IF(A40="","",IFERROR(INDEX(Plazas!$B$2:$B$100,MATCH(G40,Plazas!$A$2:$A$100,0)),""))</f>
        <v/>
      </c>
      <c r="Q40" t="s" s="0">
        <v>11</v>
      </c>
      <c r="R40" t="s" s="0">
        <v>11</v>
      </c>
      <c r="S40" t="s" s="0">
        <v>11</v>
      </c>
      <c r="T40" t="s" s="0">
        <v>11</v>
      </c>
      <c r="U40" t="s" s="0">
        <v>11</v>
      </c>
    </row>
    <row r="41" spans="1:21" x14ac:dyDescent="0.45">
      <c r="A41" s="9"/>
      <c r="B41" s="9"/>
      <c r="C41" s="9"/>
      <c r="D41" s="9"/>
      <c r="E41" s="12" t="str">
        <f t="shared" si="1"/>
        <v/>
      </c>
      <c r="F41" s="9"/>
      <c r="G41" s="9"/>
      <c r="H41" s="10"/>
      <c r="I41" s="15"/>
      <c r="J41" s="9"/>
      <c r="K41" s="9"/>
      <c r="L41" s="9"/>
      <c r="M41" s="14" t="str">
        <f>IF(A41="","",IF(H41&gt;0,H41,IFERROR(INDEX(Puestos!$C$2:$C$100,MATCH(F41,Puestos!$A$2:$A$100,0)),0)))</f>
        <v/>
      </c>
      <c r="N41" s="14" t="str">
        <f>IF(A41="","",IFERROR(INDEX(Puestos!$D$2:$D$100,MATCH(F41,Puestos!$A$2:$A$100,0)),0))</f>
        <v/>
      </c>
      <c r="O41" s="12" t="str">
        <f>IF(A41="","",IFERROR(INDEX(Puestos!$B$2:$B$100,MATCH(F41,Puestos!$A$2:$A$100,0)),""))</f>
        <v/>
      </c>
      <c r="P41" s="12" t="str">
        <f>IF(A41="","",IFERROR(INDEX(Plazas!$B$2:$B$100,MATCH(G41,Plazas!$A$2:$A$100,0)),""))</f>
        <v/>
      </c>
      <c r="Q41" t="s" s="0">
        <v>11</v>
      </c>
      <c r="R41" t="s" s="0">
        <v>11</v>
      </c>
      <c r="S41" t="s" s="0">
        <v>11</v>
      </c>
      <c r="T41" t="s" s="0">
        <v>11</v>
      </c>
      <c r="U41" t="s" s="0">
        <v>11</v>
      </c>
    </row>
    <row r="42" spans="1:21" x14ac:dyDescent="0.45">
      <c r="A42" s="9"/>
      <c r="B42" s="9"/>
      <c r="C42" s="9"/>
      <c r="D42" s="9"/>
      <c r="E42" s="12" t="str">
        <f t="shared" si="1"/>
        <v/>
      </c>
      <c r="F42" s="9"/>
      <c r="G42" s="9"/>
      <c r="H42" s="10"/>
      <c r="I42" s="15"/>
      <c r="J42" s="9"/>
      <c r="K42" s="9"/>
      <c r="L42" s="9"/>
      <c r="M42" s="14" t="str">
        <f>IF(A42="","",IF(H42&gt;0,H42,IFERROR(INDEX(Puestos!$C$2:$C$100,MATCH(F42,Puestos!$A$2:$A$100,0)),0)))</f>
        <v/>
      </c>
      <c r="N42" s="14" t="str">
        <f>IF(A42="","",IFERROR(INDEX(Puestos!$D$2:$D$100,MATCH(F42,Puestos!$A$2:$A$100,0)),0))</f>
        <v/>
      </c>
      <c r="O42" s="12" t="str">
        <f>IF(A42="","",IFERROR(INDEX(Puestos!$B$2:$B$100,MATCH(F42,Puestos!$A$2:$A$100,0)),""))</f>
        <v/>
      </c>
      <c r="P42" s="12" t="str">
        <f>IF(A42="","",IFERROR(INDEX(Plazas!$B$2:$B$100,MATCH(G42,Plazas!$A$2:$A$100,0)),""))</f>
        <v/>
      </c>
      <c r="Q42" t="s" s="0">
        <v>11</v>
      </c>
      <c r="R42" t="s" s="0">
        <v>11</v>
      </c>
      <c r="S42" t="s" s="0">
        <v>11</v>
      </c>
      <c r="T42" t="s" s="0">
        <v>11</v>
      </c>
      <c r="U42" t="s" s="0">
        <v>11</v>
      </c>
    </row>
    <row r="43" spans="1:21" x14ac:dyDescent="0.45">
      <c r="A43" s="9"/>
      <c r="B43" s="9"/>
      <c r="C43" s="9"/>
      <c r="D43" s="9"/>
      <c r="E43" s="12" t="str">
        <f t="shared" si="1"/>
        <v/>
      </c>
      <c r="F43" s="9"/>
      <c r="G43" s="9"/>
      <c r="H43" s="10"/>
      <c r="I43" s="15"/>
      <c r="J43" s="9"/>
      <c r="K43" s="9"/>
      <c r="L43" s="9"/>
      <c r="M43" s="14" t="str">
        <f>IF(A43="","",IF(H43&gt;0,H43,IFERROR(INDEX(Puestos!$C$2:$C$100,MATCH(F43,Puestos!$A$2:$A$100,0)),0)))</f>
        <v/>
      </c>
      <c r="N43" s="14" t="str">
        <f>IF(A43="","",IFERROR(INDEX(Puestos!$D$2:$D$100,MATCH(F43,Puestos!$A$2:$A$100,0)),0))</f>
        <v/>
      </c>
      <c r="O43" s="12" t="str">
        <f>IF(A43="","",IFERROR(INDEX(Puestos!$B$2:$B$100,MATCH(F43,Puestos!$A$2:$A$100,0)),""))</f>
        <v/>
      </c>
      <c r="P43" s="12" t="str">
        <f>IF(A43="","",IFERROR(INDEX(Plazas!$B$2:$B$100,MATCH(G43,Plazas!$A$2:$A$100,0)),""))</f>
        <v/>
      </c>
      <c r="Q43" t="s" s="0">
        <v>11</v>
      </c>
      <c r="R43" t="s" s="0">
        <v>11</v>
      </c>
      <c r="S43" t="s" s="0">
        <v>11</v>
      </c>
      <c r="T43" t="s" s="0">
        <v>11</v>
      </c>
      <c r="U43" t="s" s="0">
        <v>11</v>
      </c>
    </row>
    <row r="44" spans="1:21" x14ac:dyDescent="0.45">
      <c r="A44" s="9"/>
      <c r="B44" s="9"/>
      <c r="C44" s="9"/>
      <c r="D44" s="9"/>
      <c r="E44" s="12" t="str">
        <f t="shared" si="1"/>
        <v/>
      </c>
      <c r="F44" s="9"/>
      <c r="G44" s="9"/>
      <c r="H44" s="10"/>
      <c r="I44" s="15"/>
      <c r="J44" s="9"/>
      <c r="K44" s="9"/>
      <c r="L44" s="9"/>
      <c r="M44" s="14" t="str">
        <f>IF(A44="","",IF(H44&gt;0,H44,IFERROR(INDEX(Puestos!$C$2:$C$100,MATCH(F44,Puestos!$A$2:$A$100,0)),0)))</f>
        <v/>
      </c>
      <c r="N44" s="14" t="str">
        <f>IF(A44="","",IFERROR(INDEX(Puestos!$D$2:$D$100,MATCH(F44,Puestos!$A$2:$A$100,0)),0))</f>
        <v/>
      </c>
      <c r="O44" s="12" t="str">
        <f>IF(A44="","",IFERROR(INDEX(Puestos!$B$2:$B$100,MATCH(F44,Puestos!$A$2:$A$100,0)),""))</f>
        <v/>
      </c>
      <c r="P44" s="12" t="str">
        <f>IF(A44="","",IFERROR(INDEX(Plazas!$B$2:$B$100,MATCH(G44,Plazas!$A$2:$A$100,0)),""))</f>
        <v/>
      </c>
      <c r="Q44" t="s" s="0">
        <v>11</v>
      </c>
      <c r="R44" t="s" s="0">
        <v>11</v>
      </c>
      <c r="S44" t="s" s="0">
        <v>11</v>
      </c>
      <c r="T44" t="s" s="0">
        <v>11</v>
      </c>
      <c r="U44" t="s" s="0">
        <v>11</v>
      </c>
    </row>
    <row r="45" spans="1:21" x14ac:dyDescent="0.45">
      <c r="A45" s="9"/>
      <c r="B45" s="9"/>
      <c r="C45" s="9"/>
      <c r="D45" s="9"/>
      <c r="E45" s="12" t="str">
        <f t="shared" si="1"/>
        <v/>
      </c>
      <c r="F45" s="9"/>
      <c r="G45" s="9"/>
      <c r="H45" s="10"/>
      <c r="I45" s="15"/>
      <c r="J45" s="9"/>
      <c r="K45" s="9"/>
      <c r="L45" s="9"/>
      <c r="M45" s="14" t="str">
        <f>IF(A45="","",IF(H45&gt;0,H45,IFERROR(INDEX(Puestos!$C$2:$C$100,MATCH(F45,Puestos!$A$2:$A$100,0)),0)))</f>
        <v/>
      </c>
      <c r="N45" s="14" t="str">
        <f>IF(A45="","",IFERROR(INDEX(Puestos!$D$2:$D$100,MATCH(F45,Puestos!$A$2:$A$100,0)),0))</f>
        <v/>
      </c>
      <c r="O45" s="12" t="str">
        <f>IF(A45="","",IFERROR(INDEX(Puestos!$B$2:$B$100,MATCH(F45,Puestos!$A$2:$A$100,0)),""))</f>
        <v/>
      </c>
      <c r="P45" s="12" t="str">
        <f>IF(A45="","",IFERROR(INDEX(Plazas!$B$2:$B$100,MATCH(G45,Plazas!$A$2:$A$100,0)),""))</f>
        <v/>
      </c>
      <c r="Q45" t="s" s="0">
        <v>11</v>
      </c>
      <c r="R45" t="s" s="0">
        <v>11</v>
      </c>
      <c r="S45" t="s" s="0">
        <v>11</v>
      </c>
      <c r="T45" t="s" s="0">
        <v>11</v>
      </c>
      <c r="U45" t="s" s="0">
        <v>11</v>
      </c>
    </row>
    <row r="46" spans="1:21" x14ac:dyDescent="0.45">
      <c r="A46" s="9"/>
      <c r="B46" s="9"/>
      <c r="C46" s="9"/>
      <c r="D46" s="9"/>
      <c r="E46" s="12" t="str">
        <f t="shared" si="1"/>
        <v/>
      </c>
      <c r="F46" s="9"/>
      <c r="G46" s="9"/>
      <c r="H46" s="10"/>
      <c r="I46" s="15"/>
      <c r="J46" s="9"/>
      <c r="K46" s="9"/>
      <c r="L46" s="9"/>
      <c r="M46" s="14" t="str">
        <f>IF(A46="","",IF(H46&gt;0,H46,IFERROR(INDEX(Puestos!$C$2:$C$100,MATCH(F46,Puestos!$A$2:$A$100,0)),0)))</f>
        <v/>
      </c>
      <c r="N46" s="14" t="str">
        <f>IF(A46="","",IFERROR(INDEX(Puestos!$D$2:$D$100,MATCH(F46,Puestos!$A$2:$A$100,0)),0))</f>
        <v/>
      </c>
      <c r="O46" s="12" t="str">
        <f>IF(A46="","",IFERROR(INDEX(Puestos!$B$2:$B$100,MATCH(F46,Puestos!$A$2:$A$100,0)),""))</f>
        <v/>
      </c>
      <c r="P46" s="12" t="str">
        <f>IF(A46="","",IFERROR(INDEX(Plazas!$B$2:$B$100,MATCH(G46,Plazas!$A$2:$A$100,0)),""))</f>
        <v/>
      </c>
      <c r="Q46" t="s" s="0">
        <v>11</v>
      </c>
      <c r="R46" t="s" s="0">
        <v>11</v>
      </c>
      <c r="S46" t="s" s="0">
        <v>11</v>
      </c>
      <c r="T46" t="s" s="0">
        <v>11</v>
      </c>
      <c r="U46" t="s" s="0">
        <v>11</v>
      </c>
    </row>
    <row r="47" spans="1:21" x14ac:dyDescent="0.45">
      <c r="A47" s="9"/>
      <c r="B47" s="9"/>
      <c r="C47" s="9"/>
      <c r="D47" s="9"/>
      <c r="E47" s="12" t="str">
        <f t="shared" si="1"/>
        <v/>
      </c>
      <c r="F47" s="9"/>
      <c r="G47" s="9"/>
      <c r="H47" s="10"/>
      <c r="I47" s="15"/>
      <c r="J47" s="9"/>
      <c r="K47" s="9"/>
      <c r="L47" s="9"/>
      <c r="M47" s="14" t="str">
        <f>IF(A47="","",IF(H47&gt;0,H47,IFERROR(INDEX(Puestos!$C$2:$C$100,MATCH(F47,Puestos!$A$2:$A$100,0)),0)))</f>
        <v/>
      </c>
      <c r="N47" s="14" t="str">
        <f>IF(A47="","",IFERROR(INDEX(Puestos!$D$2:$D$100,MATCH(F47,Puestos!$A$2:$A$100,0)),0))</f>
        <v/>
      </c>
      <c r="O47" s="12" t="str">
        <f>IF(A47="","",IFERROR(INDEX(Puestos!$B$2:$B$100,MATCH(F47,Puestos!$A$2:$A$100,0)),""))</f>
        <v/>
      </c>
      <c r="P47" s="12" t="str">
        <f>IF(A47="","",IFERROR(INDEX(Plazas!$B$2:$B$100,MATCH(G47,Plazas!$A$2:$A$100,0)),""))</f>
        <v/>
      </c>
      <c r="Q47" t="s" s="0">
        <v>11</v>
      </c>
      <c r="R47" t="s" s="0">
        <v>11</v>
      </c>
      <c r="S47" t="s" s="0">
        <v>11</v>
      </c>
      <c r="T47" t="s" s="0">
        <v>11</v>
      </c>
      <c r="U47" t="s" s="0">
        <v>11</v>
      </c>
    </row>
    <row r="48" spans="1:21" x14ac:dyDescent="0.45">
      <c r="A48" s="9"/>
      <c r="B48" s="9"/>
      <c r="C48" s="9"/>
      <c r="D48" s="9"/>
      <c r="E48" s="12" t="str">
        <f t="shared" si="1"/>
        <v/>
      </c>
      <c r="F48" s="9"/>
      <c r="G48" s="9"/>
      <c r="H48" s="10"/>
      <c r="I48" s="15"/>
      <c r="J48" s="9"/>
      <c r="K48" s="9"/>
      <c r="L48" s="9"/>
      <c r="M48" s="14" t="str">
        <f>IF(A48="","",IF(H48&gt;0,H48,IFERROR(INDEX(Puestos!$C$2:$C$100,MATCH(F48,Puestos!$A$2:$A$100,0)),0)))</f>
        <v/>
      </c>
      <c r="N48" s="14" t="str">
        <f>IF(A48="","",IFERROR(INDEX(Puestos!$D$2:$D$100,MATCH(F48,Puestos!$A$2:$A$100,0)),0))</f>
        <v/>
      </c>
      <c r="O48" s="12" t="str">
        <f>IF(A48="","",IFERROR(INDEX(Puestos!$B$2:$B$100,MATCH(F48,Puestos!$A$2:$A$100,0)),""))</f>
        <v/>
      </c>
      <c r="P48" s="12" t="str">
        <f>IF(A48="","",IFERROR(INDEX(Plazas!$B$2:$B$100,MATCH(G48,Plazas!$A$2:$A$100,0)),""))</f>
        <v/>
      </c>
      <c r="Q48" t="s" s="0">
        <v>11</v>
      </c>
      <c r="R48" t="s" s="0">
        <v>11</v>
      </c>
      <c r="S48" t="s" s="0">
        <v>11</v>
      </c>
      <c r="T48" t="s" s="0">
        <v>11</v>
      </c>
      <c r="U48" t="s" s="0">
        <v>11</v>
      </c>
    </row>
    <row r="49" spans="1:21" x14ac:dyDescent="0.45">
      <c r="A49" s="9"/>
      <c r="B49" s="9"/>
      <c r="C49" s="9"/>
      <c r="D49" s="9"/>
      <c r="E49" s="12" t="str">
        <f t="shared" si="1"/>
        <v/>
      </c>
      <c r="F49" s="9"/>
      <c r="G49" s="9"/>
      <c r="H49" s="10"/>
      <c r="I49" s="15"/>
      <c r="J49" s="9"/>
      <c r="K49" s="9"/>
      <c r="L49" s="9"/>
      <c r="M49" s="14" t="str">
        <f>IF(A49="","",IF(H49&gt;0,H49,IFERROR(INDEX(Puestos!$C$2:$C$100,MATCH(F49,Puestos!$A$2:$A$100,0)),0)))</f>
        <v/>
      </c>
      <c r="N49" s="14" t="str">
        <f>IF(A49="","",IFERROR(INDEX(Puestos!$D$2:$D$100,MATCH(F49,Puestos!$A$2:$A$100,0)),0))</f>
        <v/>
      </c>
      <c r="O49" s="12" t="str">
        <f>IF(A49="","",IFERROR(INDEX(Puestos!$B$2:$B$100,MATCH(F49,Puestos!$A$2:$A$100,0)),""))</f>
        <v/>
      </c>
      <c r="P49" s="12" t="str">
        <f>IF(A49="","",IFERROR(INDEX(Plazas!$B$2:$B$100,MATCH(G49,Plazas!$A$2:$A$100,0)),""))</f>
        <v/>
      </c>
      <c r="Q49" t="s" s="0">
        <v>11</v>
      </c>
      <c r="R49" t="s" s="0">
        <v>11</v>
      </c>
      <c r="S49" t="s" s="0">
        <v>11</v>
      </c>
      <c r="T49" t="s" s="0">
        <v>11</v>
      </c>
      <c r="U49" t="s" s="0">
        <v>11</v>
      </c>
    </row>
    <row r="50" spans="1:21" x14ac:dyDescent="0.45">
      <c r="A50" s="9"/>
      <c r="B50" s="9"/>
      <c r="C50" s="9"/>
      <c r="D50" s="9"/>
      <c r="E50" s="12" t="str">
        <f t="shared" si="1"/>
        <v/>
      </c>
      <c r="F50" s="9"/>
      <c r="G50" s="9"/>
      <c r="H50" s="10"/>
      <c r="I50" s="15"/>
      <c r="J50" s="9"/>
      <c r="K50" s="9"/>
      <c r="L50" s="9"/>
      <c r="M50" s="14" t="str">
        <f>IF(A50="","",IF(H50&gt;0,H50,IFERROR(INDEX(Puestos!$C$2:$C$100,MATCH(F50,Puestos!$A$2:$A$100,0)),0)))</f>
        <v/>
      </c>
      <c r="N50" s="14" t="str">
        <f>IF(A50="","",IFERROR(INDEX(Puestos!$D$2:$D$100,MATCH(F50,Puestos!$A$2:$A$100,0)),0))</f>
        <v/>
      </c>
      <c r="O50" s="12" t="str">
        <f>IF(A50="","",IFERROR(INDEX(Puestos!$B$2:$B$100,MATCH(F50,Puestos!$A$2:$A$100,0)),""))</f>
        <v/>
      </c>
      <c r="P50" s="12" t="str">
        <f>IF(A50="","",IFERROR(INDEX(Plazas!$B$2:$B$100,MATCH(G50,Plazas!$A$2:$A$100,0)),""))</f>
        <v/>
      </c>
      <c r="Q50" t="s" s="0">
        <v>11</v>
      </c>
      <c r="R50" t="s" s="0">
        <v>11</v>
      </c>
      <c r="S50" t="s" s="0">
        <v>11</v>
      </c>
      <c r="T50" t="s" s="0">
        <v>11</v>
      </c>
      <c r="U50" t="s" s="0">
        <v>11</v>
      </c>
    </row>
    <row r="51" spans="1:21" x14ac:dyDescent="0.45">
      <c r="A51" s="9"/>
      <c r="B51" s="9"/>
      <c r="C51" s="9"/>
      <c r="D51" s="9"/>
      <c r="E51" s="12" t="str">
        <f t="shared" si="1"/>
        <v/>
      </c>
      <c r="F51" s="9"/>
      <c r="G51" s="9"/>
      <c r="H51" s="10"/>
      <c r="I51" s="15"/>
      <c r="J51" s="9"/>
      <c r="K51" s="9"/>
      <c r="L51" s="9"/>
      <c r="M51" s="14" t="str">
        <f>IF(A51="","",IF(H51&gt;0,H51,IFERROR(INDEX(Puestos!$C$2:$C$100,MATCH(F51,Puestos!$A$2:$A$100,0)),0)))</f>
        <v/>
      </c>
      <c r="N51" s="14" t="str">
        <f>IF(A51="","",IFERROR(INDEX(Puestos!$D$2:$D$100,MATCH(F51,Puestos!$A$2:$A$100,0)),0))</f>
        <v/>
      </c>
      <c r="O51" s="12" t="str">
        <f>IF(A51="","",IFERROR(INDEX(Puestos!$B$2:$B$100,MATCH(F51,Puestos!$A$2:$A$100,0)),""))</f>
        <v/>
      </c>
      <c r="P51" s="12" t="str">
        <f>IF(A51="","",IFERROR(INDEX(Plazas!$B$2:$B$100,MATCH(G51,Plazas!$A$2:$A$100,0)),""))</f>
        <v/>
      </c>
      <c r="Q51" t="s" s="0">
        <v>11</v>
      </c>
      <c r="R51" t="s" s="0">
        <v>11</v>
      </c>
      <c r="S51" t="s" s="0">
        <v>11</v>
      </c>
      <c r="T51" t="s" s="0">
        <v>11</v>
      </c>
      <c r="U51" t="s" s="0">
        <v>11</v>
      </c>
    </row>
    <row r="52" spans="1:21" x14ac:dyDescent="0.45">
      <c r="A52" s="9"/>
      <c r="B52" s="9"/>
      <c r="C52" s="9"/>
      <c r="D52" s="9"/>
      <c r="E52" s="12" t="str">
        <f t="shared" si="1"/>
        <v/>
      </c>
      <c r="F52" s="9"/>
      <c r="G52" s="9"/>
      <c r="H52" s="10"/>
      <c r="I52" s="15"/>
      <c r="J52" s="9"/>
      <c r="K52" s="9"/>
      <c r="L52" s="9"/>
      <c r="M52" s="14" t="str">
        <f>IF(A52="","",IF(H52&gt;0,H52,IFERROR(INDEX(Puestos!$C$2:$C$100,MATCH(F52,Puestos!$A$2:$A$100,0)),0)))</f>
        <v/>
      </c>
      <c r="N52" s="14" t="str">
        <f>IF(A52="","",IFERROR(INDEX(Puestos!$D$2:$D$100,MATCH(F52,Puestos!$A$2:$A$100,0)),0))</f>
        <v/>
      </c>
      <c r="O52" s="12" t="str">
        <f>IF(A52="","",IFERROR(INDEX(Puestos!$B$2:$B$100,MATCH(F52,Puestos!$A$2:$A$100,0)),""))</f>
        <v/>
      </c>
      <c r="P52" s="12" t="str">
        <f>IF(A52="","",IFERROR(INDEX(Plazas!$B$2:$B$100,MATCH(G52,Plazas!$A$2:$A$100,0)),""))</f>
        <v/>
      </c>
      <c r="Q52" t="s" s="0">
        <v>11</v>
      </c>
      <c r="R52" t="s" s="0">
        <v>11</v>
      </c>
      <c r="S52" t="s" s="0">
        <v>11</v>
      </c>
      <c r="T52" t="s" s="0">
        <v>11</v>
      </c>
      <c r="U52" t="s" s="0">
        <v>11</v>
      </c>
    </row>
    <row r="53" spans="1:21" x14ac:dyDescent="0.45">
      <c r="A53" s="9"/>
      <c r="B53" s="9"/>
      <c r="C53" s="9"/>
      <c r="D53" s="9"/>
      <c r="E53" s="12" t="str">
        <f t="shared" si="1"/>
        <v/>
      </c>
      <c r="F53" s="9"/>
      <c r="G53" s="9"/>
      <c r="H53" s="10"/>
      <c r="I53" s="15"/>
      <c r="J53" s="9"/>
      <c r="K53" s="9"/>
      <c r="L53" s="9"/>
      <c r="M53" s="14" t="str">
        <f>IF(A53="","",IF(H53&gt;0,H53,IFERROR(INDEX(Puestos!$C$2:$C$100,MATCH(F53,Puestos!$A$2:$A$100,0)),0)))</f>
        <v/>
      </c>
      <c r="N53" s="14" t="str">
        <f>IF(A53="","",IFERROR(INDEX(Puestos!$D$2:$D$100,MATCH(F53,Puestos!$A$2:$A$100,0)),0))</f>
        <v/>
      </c>
      <c r="O53" s="12" t="str">
        <f>IF(A53="","",IFERROR(INDEX(Puestos!$B$2:$B$100,MATCH(F53,Puestos!$A$2:$A$100,0)),""))</f>
        <v/>
      </c>
      <c r="P53" s="12" t="str">
        <f>IF(A53="","",IFERROR(INDEX(Plazas!$B$2:$B$100,MATCH(G53,Plazas!$A$2:$A$100,0)),""))</f>
        <v/>
      </c>
      <c r="Q53" t="s" s="0">
        <v>11</v>
      </c>
      <c r="R53" t="s" s="0">
        <v>11</v>
      </c>
      <c r="S53" t="s" s="0">
        <v>11</v>
      </c>
      <c r="T53" t="s" s="0">
        <v>11</v>
      </c>
      <c r="U53" t="s" s="0">
        <v>11</v>
      </c>
    </row>
    <row r="54" spans="1:21" x14ac:dyDescent="0.45">
      <c r="A54" s="9"/>
      <c r="B54" s="9"/>
      <c r="C54" s="9"/>
      <c r="D54" s="9"/>
      <c r="E54" s="12" t="str">
        <f t="shared" si="1"/>
        <v/>
      </c>
      <c r="F54" s="9"/>
      <c r="G54" s="9"/>
      <c r="H54" s="10"/>
      <c r="I54" s="15"/>
      <c r="J54" s="9"/>
      <c r="K54" s="9"/>
      <c r="L54" s="9"/>
      <c r="M54" s="14" t="str">
        <f>IF(A54="","",IF(H54&gt;0,H54,IFERROR(INDEX(Puestos!$C$2:$C$100,MATCH(F54,Puestos!$A$2:$A$100,0)),0)))</f>
        <v/>
      </c>
      <c r="N54" s="14" t="str">
        <f>IF(A54="","",IFERROR(INDEX(Puestos!$D$2:$D$100,MATCH(F54,Puestos!$A$2:$A$100,0)),0))</f>
        <v/>
      </c>
      <c r="O54" s="12" t="str">
        <f>IF(A54="","",IFERROR(INDEX(Puestos!$B$2:$B$100,MATCH(F54,Puestos!$A$2:$A$100,0)),""))</f>
        <v/>
      </c>
      <c r="P54" s="12" t="str">
        <f>IF(A54="","",IFERROR(INDEX(Plazas!$B$2:$B$100,MATCH(G54,Plazas!$A$2:$A$100,0)),""))</f>
        <v/>
      </c>
      <c r="Q54" t="s" s="0">
        <v>11</v>
      </c>
      <c r="R54" t="s" s="0">
        <v>11</v>
      </c>
      <c r="S54" t="s" s="0">
        <v>11</v>
      </c>
      <c r="T54" t="s" s="0">
        <v>11</v>
      </c>
      <c r="U54" t="s" s="0">
        <v>11</v>
      </c>
    </row>
    <row r="55" spans="1:21" x14ac:dyDescent="0.45">
      <c r="A55" s="9"/>
      <c r="B55" s="9"/>
      <c r="C55" s="9"/>
      <c r="D55" s="9"/>
      <c r="E55" s="12" t="str">
        <f t="shared" si="1"/>
        <v/>
      </c>
      <c r="F55" s="9"/>
      <c r="G55" s="9"/>
      <c r="H55" s="10"/>
      <c r="I55" s="15"/>
      <c r="J55" s="9"/>
      <c r="K55" s="9"/>
      <c r="L55" s="9"/>
      <c r="M55" s="14" t="str">
        <f>IF(A55="","",IF(H55&gt;0,H55,IFERROR(INDEX(Puestos!$C$2:$C$100,MATCH(F55,Puestos!$A$2:$A$100,0)),0)))</f>
        <v/>
      </c>
      <c r="N55" s="14" t="str">
        <f>IF(A55="","",IFERROR(INDEX(Puestos!$D$2:$D$100,MATCH(F55,Puestos!$A$2:$A$100,0)),0))</f>
        <v/>
      </c>
      <c r="O55" s="12" t="str">
        <f>IF(A55="","",IFERROR(INDEX(Puestos!$B$2:$B$100,MATCH(F55,Puestos!$A$2:$A$100,0)),""))</f>
        <v/>
      </c>
      <c r="P55" s="12" t="str">
        <f>IF(A55="","",IFERROR(INDEX(Plazas!$B$2:$B$100,MATCH(G55,Plazas!$A$2:$A$100,0)),""))</f>
        <v/>
      </c>
      <c r="Q55" t="s" s="0">
        <v>11</v>
      </c>
      <c r="R55" t="s" s="0">
        <v>11</v>
      </c>
      <c r="S55" t="s" s="0">
        <v>11</v>
      </c>
      <c r="T55" t="s" s="0">
        <v>11</v>
      </c>
      <c r="U55" t="s" s="0">
        <v>11</v>
      </c>
    </row>
    <row r="56" spans="1:21" x14ac:dyDescent="0.45">
      <c r="A56" s="9"/>
      <c r="B56" s="9"/>
      <c r="C56" s="9"/>
      <c r="D56" s="9"/>
      <c r="E56" s="12" t="str">
        <f t="shared" si="1"/>
        <v/>
      </c>
      <c r="F56" s="9"/>
      <c r="G56" s="9"/>
      <c r="H56" s="10"/>
      <c r="I56" s="15"/>
      <c r="J56" s="9"/>
      <c r="K56" s="9"/>
      <c r="L56" s="9"/>
      <c r="M56" s="14" t="str">
        <f>IF(A56="","",IF(H56&gt;0,H56,IFERROR(INDEX(Puestos!$C$2:$C$100,MATCH(F56,Puestos!$A$2:$A$100,0)),0)))</f>
        <v/>
      </c>
      <c r="N56" s="14" t="str">
        <f>IF(A56="","",IFERROR(INDEX(Puestos!$D$2:$D$100,MATCH(F56,Puestos!$A$2:$A$100,0)),0))</f>
        <v/>
      </c>
      <c r="O56" s="12" t="str">
        <f>IF(A56="","",IFERROR(INDEX(Puestos!$B$2:$B$100,MATCH(F56,Puestos!$A$2:$A$100,0)),""))</f>
        <v/>
      </c>
      <c r="P56" s="12" t="str">
        <f>IF(A56="","",IFERROR(INDEX(Plazas!$B$2:$B$100,MATCH(G56,Plazas!$A$2:$A$100,0)),""))</f>
        <v/>
      </c>
      <c r="Q56" t="s" s="0">
        <v>11</v>
      </c>
      <c r="R56" t="s" s="0">
        <v>11</v>
      </c>
      <c r="S56" t="s" s="0">
        <v>11</v>
      </c>
      <c r="T56" t="s" s="0">
        <v>11</v>
      </c>
      <c r="U56" t="s" s="0">
        <v>11</v>
      </c>
    </row>
    <row r="57" spans="1:21" x14ac:dyDescent="0.45">
      <c r="A57" s="9"/>
      <c r="B57" s="9"/>
      <c r="C57" s="9"/>
      <c r="D57" s="9"/>
      <c r="E57" s="12" t="str">
        <f t="shared" si="1"/>
        <v/>
      </c>
      <c r="F57" s="9"/>
      <c r="G57" s="9"/>
      <c r="H57" s="10"/>
      <c r="I57" s="15"/>
      <c r="J57" s="9"/>
      <c r="K57" s="9"/>
      <c r="L57" s="9"/>
      <c r="M57" s="14" t="str">
        <f>IF(A57="","",IF(H57&gt;0,H57,IFERROR(INDEX(Puestos!$C$2:$C$100,MATCH(F57,Puestos!$A$2:$A$100,0)),0)))</f>
        <v/>
      </c>
      <c r="N57" s="14" t="str">
        <f>IF(A57="","",IFERROR(INDEX(Puestos!$D$2:$D$100,MATCH(F57,Puestos!$A$2:$A$100,0)),0))</f>
        <v/>
      </c>
      <c r="O57" s="12" t="str">
        <f>IF(A57="","",IFERROR(INDEX(Puestos!$B$2:$B$100,MATCH(F57,Puestos!$A$2:$A$100,0)),""))</f>
        <v/>
      </c>
      <c r="P57" s="12" t="str">
        <f>IF(A57="","",IFERROR(INDEX(Plazas!$B$2:$B$100,MATCH(G57,Plazas!$A$2:$A$100,0)),""))</f>
        <v/>
      </c>
      <c r="Q57" t="s" s="0">
        <v>11</v>
      </c>
      <c r="R57" t="s" s="0">
        <v>11</v>
      </c>
      <c r="S57" t="s" s="0">
        <v>11</v>
      </c>
      <c r="T57" t="s" s="0">
        <v>11</v>
      </c>
      <c r="U57" t="s" s="0">
        <v>11</v>
      </c>
    </row>
    <row r="58" spans="1:21" x14ac:dyDescent="0.45">
      <c r="A58" s="9"/>
      <c r="B58" s="9"/>
      <c r="C58" s="9"/>
      <c r="D58" s="9"/>
      <c r="E58" s="12" t="str">
        <f t="shared" si="1"/>
        <v/>
      </c>
      <c r="F58" s="9"/>
      <c r="G58" s="9"/>
      <c r="H58" s="10"/>
      <c r="I58" s="15"/>
      <c r="J58" s="9"/>
      <c r="K58" s="9"/>
      <c r="L58" s="9"/>
      <c r="M58" s="14" t="str">
        <f>IF(A58="","",IF(H58&gt;0,H58,IFERROR(INDEX(Puestos!$C$2:$C$100,MATCH(F58,Puestos!$A$2:$A$100,0)),0)))</f>
        <v/>
      </c>
      <c r="N58" s="14" t="str">
        <f>IF(A58="","",IFERROR(INDEX(Puestos!$D$2:$D$100,MATCH(F58,Puestos!$A$2:$A$100,0)),0))</f>
        <v/>
      </c>
      <c r="O58" s="12" t="str">
        <f>IF(A58="","",IFERROR(INDEX(Puestos!$B$2:$B$100,MATCH(F58,Puestos!$A$2:$A$100,0)),""))</f>
        <v/>
      </c>
      <c r="P58" s="12" t="str">
        <f>IF(A58="","",IFERROR(INDEX(Plazas!$B$2:$B$100,MATCH(G58,Plazas!$A$2:$A$100,0)),""))</f>
        <v/>
      </c>
      <c r="Q58" t="s" s="0">
        <v>11</v>
      </c>
      <c r="R58" t="s" s="0">
        <v>11</v>
      </c>
      <c r="S58" t="s" s="0">
        <v>11</v>
      </c>
      <c r="T58" t="s" s="0">
        <v>11</v>
      </c>
      <c r="U58" t="s" s="0">
        <v>11</v>
      </c>
    </row>
    <row r="59" spans="1:21" x14ac:dyDescent="0.45">
      <c r="A59" s="9"/>
      <c r="B59" s="9"/>
      <c r="C59" s="9"/>
      <c r="D59" s="9"/>
      <c r="E59" s="12" t="str">
        <f t="shared" si="1"/>
        <v/>
      </c>
      <c r="F59" s="9"/>
      <c r="G59" s="9"/>
      <c r="H59" s="10"/>
      <c r="I59" s="15"/>
      <c r="J59" s="9"/>
      <c r="K59" s="9"/>
      <c r="L59" s="9"/>
      <c r="M59" s="14" t="str">
        <f>IF(A59="","",IF(H59&gt;0,H59,IFERROR(INDEX(Puestos!$C$2:$C$100,MATCH(F59,Puestos!$A$2:$A$100,0)),0)))</f>
        <v/>
      </c>
      <c r="N59" s="14" t="str">
        <f>IF(A59="","",IFERROR(INDEX(Puestos!$D$2:$D$100,MATCH(F59,Puestos!$A$2:$A$100,0)),0))</f>
        <v/>
      </c>
      <c r="O59" s="12" t="str">
        <f>IF(A59="","",IFERROR(INDEX(Puestos!$B$2:$B$100,MATCH(F59,Puestos!$A$2:$A$100,0)),""))</f>
        <v/>
      </c>
      <c r="P59" s="12" t="str">
        <f>IF(A59="","",IFERROR(INDEX(Plazas!$B$2:$B$100,MATCH(G59,Plazas!$A$2:$A$100,0)),""))</f>
        <v/>
      </c>
      <c r="Q59" t="s" s="0">
        <v>11</v>
      </c>
      <c r="R59" t="s" s="0">
        <v>11</v>
      </c>
      <c r="S59" t="s" s="0">
        <v>11</v>
      </c>
      <c r="T59" t="s" s="0">
        <v>11</v>
      </c>
      <c r="U59" t="s" s="0">
        <v>11</v>
      </c>
    </row>
    <row r="60" spans="1:21" x14ac:dyDescent="0.45">
      <c r="A60" s="9"/>
      <c r="B60" s="9"/>
      <c r="C60" s="9"/>
      <c r="D60" s="9"/>
      <c r="E60" s="12" t="str">
        <f t="shared" si="1"/>
        <v/>
      </c>
      <c r="F60" s="9"/>
      <c r="G60" s="9"/>
      <c r="H60" s="10"/>
      <c r="I60" s="15"/>
      <c r="J60" s="9"/>
      <c r="K60" s="9"/>
      <c r="L60" s="9"/>
      <c r="M60" s="14" t="str">
        <f>IF(A60="","",IF(H60&gt;0,H60,IFERROR(INDEX(Puestos!$C$2:$C$100,MATCH(F60,Puestos!$A$2:$A$100,0)),0)))</f>
        <v/>
      </c>
      <c r="N60" s="14" t="str">
        <f>IF(A60="","",IFERROR(INDEX(Puestos!$D$2:$D$100,MATCH(F60,Puestos!$A$2:$A$100,0)),0))</f>
        <v/>
      </c>
      <c r="O60" s="12" t="str">
        <f>IF(A60="","",IFERROR(INDEX(Puestos!$B$2:$B$100,MATCH(F60,Puestos!$A$2:$A$100,0)),""))</f>
        <v/>
      </c>
      <c r="P60" s="12" t="str">
        <f>IF(A60="","",IFERROR(INDEX(Plazas!$B$2:$B$100,MATCH(G60,Plazas!$A$2:$A$100,0)),""))</f>
        <v/>
      </c>
      <c r="Q60" t="s" s="0">
        <v>11</v>
      </c>
      <c r="R60" t="s" s="0">
        <v>11</v>
      </c>
      <c r="S60" t="s" s="0">
        <v>11</v>
      </c>
      <c r="T60" t="s" s="0">
        <v>11</v>
      </c>
      <c r="U60" t="s" s="0">
        <v>11</v>
      </c>
    </row>
    <row r="61" spans="1:21" x14ac:dyDescent="0.45">
      <c r="A61" s="9"/>
      <c r="B61" s="9"/>
      <c r="C61" s="9"/>
      <c r="D61" s="9"/>
      <c r="E61" s="12" t="str">
        <f t="shared" si="1"/>
        <v/>
      </c>
      <c r="F61" s="9"/>
      <c r="G61" s="9"/>
      <c r="H61" s="10"/>
      <c r="I61" s="15"/>
      <c r="J61" s="9"/>
      <c r="K61" s="9"/>
      <c r="L61" s="9"/>
      <c r="M61" s="14" t="str">
        <f>IF(A61="","",IF(H61&gt;0,H61,IFERROR(INDEX(Puestos!$C$2:$C$100,MATCH(F61,Puestos!$A$2:$A$100,0)),0)))</f>
        <v/>
      </c>
      <c r="N61" s="14" t="str">
        <f>IF(A61="","",IFERROR(INDEX(Puestos!$D$2:$D$100,MATCH(F61,Puestos!$A$2:$A$100,0)),0))</f>
        <v/>
      </c>
      <c r="O61" s="12" t="str">
        <f>IF(A61="","",IFERROR(INDEX(Puestos!$B$2:$B$100,MATCH(F61,Puestos!$A$2:$A$100,0)),""))</f>
        <v/>
      </c>
      <c r="P61" s="12" t="str">
        <f>IF(A61="","",IFERROR(INDEX(Plazas!$B$2:$B$100,MATCH(G61,Plazas!$A$2:$A$100,0)),""))</f>
        <v/>
      </c>
      <c r="Q61" t="s" s="0">
        <v>11</v>
      </c>
      <c r="R61" t="s" s="0">
        <v>11</v>
      </c>
      <c r="S61" t="s" s="0">
        <v>11</v>
      </c>
      <c r="T61" t="s" s="0">
        <v>11</v>
      </c>
      <c r="U61" t="s" s="0">
        <v>11</v>
      </c>
    </row>
    <row r="62" spans="1:21" x14ac:dyDescent="0.45">
      <c r="A62" s="9"/>
      <c r="B62" s="9"/>
      <c r="C62" s="9"/>
      <c r="D62" s="9"/>
      <c r="E62" s="12" t="str">
        <f t="shared" si="1"/>
        <v/>
      </c>
      <c r="F62" s="9"/>
      <c r="G62" s="9"/>
      <c r="H62" s="10"/>
      <c r="I62" s="15"/>
      <c r="J62" s="9"/>
      <c r="K62" s="9"/>
      <c r="L62" s="9"/>
      <c r="M62" s="14" t="str">
        <f>IF(A62="","",IF(H62&gt;0,H62,IFERROR(INDEX(Puestos!$C$2:$C$100,MATCH(F62,Puestos!$A$2:$A$100,0)),0)))</f>
        <v/>
      </c>
      <c r="N62" s="14" t="str">
        <f>IF(A62="","",IFERROR(INDEX(Puestos!$D$2:$D$100,MATCH(F62,Puestos!$A$2:$A$100,0)),0))</f>
        <v/>
      </c>
      <c r="O62" s="12" t="str">
        <f>IF(A62="","",IFERROR(INDEX(Puestos!$B$2:$B$100,MATCH(F62,Puestos!$A$2:$A$100,0)),""))</f>
        <v/>
      </c>
      <c r="P62" s="12" t="str">
        <f>IF(A62="","",IFERROR(INDEX(Plazas!$B$2:$B$100,MATCH(G62,Plazas!$A$2:$A$100,0)),""))</f>
        <v/>
      </c>
      <c r="Q62" t="s" s="0">
        <v>11</v>
      </c>
      <c r="R62" t="s" s="0">
        <v>11</v>
      </c>
      <c r="S62" t="s" s="0">
        <v>11</v>
      </c>
      <c r="T62" t="s" s="0">
        <v>11</v>
      </c>
      <c r="U62" t="s" s="0">
        <v>11</v>
      </c>
    </row>
    <row r="63" spans="1:21" x14ac:dyDescent="0.45">
      <c r="A63" s="9"/>
      <c r="B63" s="9"/>
      <c r="C63" s="9"/>
      <c r="D63" s="9"/>
      <c r="E63" s="12" t="str">
        <f t="shared" si="1"/>
        <v/>
      </c>
      <c r="F63" s="9"/>
      <c r="G63" s="9"/>
      <c r="H63" s="10"/>
      <c r="I63" s="15"/>
      <c r="J63" s="9"/>
      <c r="K63" s="9"/>
      <c r="L63" s="9"/>
      <c r="M63" s="14" t="str">
        <f>IF(A63="","",IF(H63&gt;0,H63,IFERROR(INDEX(Puestos!$C$2:$C$100,MATCH(F63,Puestos!$A$2:$A$100,0)),0)))</f>
        <v/>
      </c>
      <c r="N63" s="14" t="str">
        <f>IF(A63="","",IFERROR(INDEX(Puestos!$D$2:$D$100,MATCH(F63,Puestos!$A$2:$A$100,0)),0))</f>
        <v/>
      </c>
      <c r="O63" s="12" t="str">
        <f>IF(A63="","",IFERROR(INDEX(Puestos!$B$2:$B$100,MATCH(F63,Puestos!$A$2:$A$100,0)),""))</f>
        <v/>
      </c>
      <c r="P63" s="12" t="str">
        <f>IF(A63="","",IFERROR(INDEX(Plazas!$B$2:$B$100,MATCH(G63,Plazas!$A$2:$A$100,0)),""))</f>
        <v/>
      </c>
      <c r="Q63" t="s" s="0">
        <v>11</v>
      </c>
      <c r="R63" t="s" s="0">
        <v>11</v>
      </c>
      <c r="S63" t="s" s="0">
        <v>11</v>
      </c>
      <c r="T63" t="s" s="0">
        <v>11</v>
      </c>
      <c r="U63" t="s" s="0">
        <v>11</v>
      </c>
    </row>
    <row r="64" spans="1:21" x14ac:dyDescent="0.45">
      <c r="A64" s="9"/>
      <c r="B64" s="9"/>
      <c r="C64" s="9"/>
      <c r="D64" s="9"/>
      <c r="E64" s="12" t="str">
        <f t="shared" si="1"/>
        <v/>
      </c>
      <c r="F64" s="9"/>
      <c r="G64" s="9"/>
      <c r="H64" s="10"/>
      <c r="I64" s="15"/>
      <c r="J64" s="9"/>
      <c r="K64" s="9"/>
      <c r="L64" s="9"/>
      <c r="M64" s="14" t="str">
        <f>IF(A64="","",IF(H64&gt;0,H64,IFERROR(INDEX(Puestos!$C$2:$C$100,MATCH(F64,Puestos!$A$2:$A$100,0)),0)))</f>
        <v/>
      </c>
      <c r="N64" s="14" t="str">
        <f>IF(A64="","",IFERROR(INDEX(Puestos!$D$2:$D$100,MATCH(F64,Puestos!$A$2:$A$100,0)),0))</f>
        <v/>
      </c>
      <c r="O64" s="12" t="str">
        <f>IF(A64="","",IFERROR(INDEX(Puestos!$B$2:$B$100,MATCH(F64,Puestos!$A$2:$A$100,0)),""))</f>
        <v/>
      </c>
      <c r="P64" s="12" t="str">
        <f>IF(A64="","",IFERROR(INDEX(Plazas!$B$2:$B$100,MATCH(G64,Plazas!$A$2:$A$100,0)),""))</f>
        <v/>
      </c>
      <c r="Q64" t="s" s="0">
        <v>11</v>
      </c>
      <c r="R64" t="s" s="0">
        <v>11</v>
      </c>
      <c r="S64" t="s" s="0">
        <v>11</v>
      </c>
      <c r="T64" t="s" s="0">
        <v>11</v>
      </c>
      <c r="U64" t="s" s="0">
        <v>11</v>
      </c>
    </row>
    <row r="65" spans="1:21" x14ac:dyDescent="0.45">
      <c r="A65" s="9"/>
      <c r="B65" s="9"/>
      <c r="C65" s="9"/>
      <c r="D65" s="9"/>
      <c r="E65" s="12" t="str">
        <f t="shared" si="1"/>
        <v/>
      </c>
      <c r="F65" s="9"/>
      <c r="G65" s="9"/>
      <c r="H65" s="10"/>
      <c r="I65" s="15"/>
      <c r="J65" s="9"/>
      <c r="K65" s="9"/>
      <c r="L65" s="9"/>
      <c r="M65" s="14" t="str">
        <f>IF(A65="","",IF(H65&gt;0,H65,IFERROR(INDEX(Puestos!$C$2:$C$100,MATCH(F65,Puestos!$A$2:$A$100,0)),0)))</f>
        <v/>
      </c>
      <c r="N65" s="14" t="str">
        <f>IF(A65="","",IFERROR(INDEX(Puestos!$D$2:$D$100,MATCH(F65,Puestos!$A$2:$A$100,0)),0))</f>
        <v/>
      </c>
      <c r="O65" s="12" t="str">
        <f>IF(A65="","",IFERROR(INDEX(Puestos!$B$2:$B$100,MATCH(F65,Puestos!$A$2:$A$100,0)),""))</f>
        <v/>
      </c>
      <c r="P65" s="12" t="str">
        <f>IF(A65="","",IFERROR(INDEX(Plazas!$B$2:$B$100,MATCH(G65,Plazas!$A$2:$A$100,0)),""))</f>
        <v/>
      </c>
      <c r="Q65" t="s" s="0">
        <v>11</v>
      </c>
      <c r="R65" t="s" s="0">
        <v>11</v>
      </c>
      <c r="S65" t="s" s="0">
        <v>11</v>
      </c>
      <c r="T65" t="s" s="0">
        <v>11</v>
      </c>
      <c r="U65" t="s" s="0">
        <v>11</v>
      </c>
    </row>
    <row r="66" spans="1:21" x14ac:dyDescent="0.45">
      <c r="A66" s="9"/>
      <c r="B66" s="9"/>
      <c r="C66" s="9"/>
      <c r="D66" s="9"/>
      <c r="E66" s="12" t="str">
        <f t="shared" si="1"/>
        <v/>
      </c>
      <c r="F66" s="9"/>
      <c r="G66" s="9"/>
      <c r="H66" s="10"/>
      <c r="I66" s="15"/>
      <c r="J66" s="9"/>
      <c r="K66" s="9"/>
      <c r="L66" s="9"/>
      <c r="M66" s="14" t="str">
        <f>IF(A66="","",IF(H66&gt;0,H66,IFERROR(INDEX(Puestos!$C$2:$C$100,MATCH(F66,Puestos!$A$2:$A$100,0)),0)))</f>
        <v/>
      </c>
      <c r="N66" s="14" t="str">
        <f>IF(A66="","",IFERROR(INDEX(Puestos!$D$2:$D$100,MATCH(F66,Puestos!$A$2:$A$100,0)),0))</f>
        <v/>
      </c>
      <c r="O66" s="12" t="str">
        <f>IF(A66="","",IFERROR(INDEX(Puestos!$B$2:$B$100,MATCH(F66,Puestos!$A$2:$A$100,0)),""))</f>
        <v/>
      </c>
      <c r="P66" s="12" t="str">
        <f>IF(A66="","",IFERROR(INDEX(Plazas!$B$2:$B$100,MATCH(G66,Plazas!$A$2:$A$100,0)),""))</f>
        <v/>
      </c>
      <c r="Q66" t="s" s="0">
        <v>11</v>
      </c>
      <c r="R66" t="s" s="0">
        <v>11</v>
      </c>
      <c r="S66" t="s" s="0">
        <v>11</v>
      </c>
      <c r="T66" t="s" s="0">
        <v>11</v>
      </c>
      <c r="U66" t="s" s="0">
        <v>11</v>
      </c>
    </row>
    <row r="67" spans="1:21" x14ac:dyDescent="0.45">
      <c r="A67" s="9"/>
      <c r="B67" s="9"/>
      <c r="C67" s="9"/>
      <c r="D67" s="9"/>
      <c r="E67" s="12" t="str">
        <f t="shared" si="1"/>
        <v/>
      </c>
      <c r="F67" s="9"/>
      <c r="G67" s="9"/>
      <c r="H67" s="10"/>
      <c r="I67" s="15"/>
      <c r="J67" s="9"/>
      <c r="K67" s="9"/>
      <c r="L67" s="9"/>
      <c r="M67" s="14" t="str">
        <f>IF(A67="","",IF(H67&gt;0,H67,IFERROR(INDEX(Puestos!$C$2:$C$100,MATCH(F67,Puestos!$A$2:$A$100,0)),0)))</f>
        <v/>
      </c>
      <c r="N67" s="14" t="str">
        <f>IF(A67="","",IFERROR(INDEX(Puestos!$D$2:$D$100,MATCH(F67,Puestos!$A$2:$A$100,0)),0))</f>
        <v/>
      </c>
      <c r="O67" s="12" t="str">
        <f>IF(A67="","",IFERROR(INDEX(Puestos!$B$2:$B$100,MATCH(F67,Puestos!$A$2:$A$100,0)),""))</f>
        <v/>
      </c>
      <c r="P67" s="12" t="str">
        <f>IF(A67="","",IFERROR(INDEX(Plazas!$B$2:$B$100,MATCH(G67,Plazas!$A$2:$A$100,0)),""))</f>
        <v/>
      </c>
      <c r="Q67" t="s" s="0">
        <v>11</v>
      </c>
      <c r="R67" t="s" s="0">
        <v>11</v>
      </c>
      <c r="S67" t="s" s="0">
        <v>11</v>
      </c>
      <c r="T67" t="s" s="0">
        <v>11</v>
      </c>
      <c r="U67" t="s" s="0">
        <v>11</v>
      </c>
    </row>
    <row r="68" spans="1:21" x14ac:dyDescent="0.45">
      <c r="A68" s="9"/>
      <c r="B68" s="9"/>
      <c r="C68" s="9"/>
      <c r="D68" s="9"/>
      <c r="E68" s="12" t="str">
        <f t="shared" si="1"/>
        <v/>
      </c>
      <c r="F68" s="9"/>
      <c r="G68" s="9"/>
      <c r="H68" s="10"/>
      <c r="I68" s="15"/>
      <c r="J68" s="9"/>
      <c r="K68" s="9"/>
      <c r="L68" s="9"/>
      <c r="M68" s="14" t="str">
        <f>IF(A68="","",IF(H68&gt;0,H68,IFERROR(INDEX(Puestos!$C$2:$C$100,MATCH(F68,Puestos!$A$2:$A$100,0)),0)))</f>
        <v/>
      </c>
      <c r="N68" s="14" t="str">
        <f>IF(A68="","",IFERROR(INDEX(Puestos!$D$2:$D$100,MATCH(F68,Puestos!$A$2:$A$100,0)),0))</f>
        <v/>
      </c>
      <c r="O68" s="12" t="str">
        <f>IF(A68="","",IFERROR(INDEX(Puestos!$B$2:$B$100,MATCH(F68,Puestos!$A$2:$A$100,0)),""))</f>
        <v/>
      </c>
      <c r="P68" s="12" t="str">
        <f>IF(A68="","",IFERROR(INDEX(Plazas!$B$2:$B$100,MATCH(G68,Plazas!$A$2:$A$100,0)),""))</f>
        <v/>
      </c>
      <c r="Q68" t="s" s="0">
        <v>11</v>
      </c>
      <c r="R68" t="s" s="0">
        <v>11</v>
      </c>
      <c r="S68" t="s" s="0">
        <v>11</v>
      </c>
      <c r="T68" t="s" s="0">
        <v>11</v>
      </c>
      <c r="U68" t="s" s="0">
        <v>11</v>
      </c>
    </row>
    <row r="69" spans="1:21" x14ac:dyDescent="0.45">
      <c r="A69" s="9"/>
      <c r="B69" s="9"/>
      <c r="C69" s="9"/>
      <c r="D69" s="9"/>
      <c r="E69" s="12" t="str">
        <f t="shared" si="1"/>
        <v/>
      </c>
      <c r="F69" s="9"/>
      <c r="G69" s="9"/>
      <c r="H69" s="10"/>
      <c r="I69" s="15"/>
      <c r="J69" s="9"/>
      <c r="K69" s="9"/>
      <c r="L69" s="9"/>
      <c r="M69" s="14" t="str">
        <f>IF(A69="","",IF(H69&gt;0,H69,IFERROR(INDEX(Puestos!$C$2:$C$100,MATCH(F69,Puestos!$A$2:$A$100,0)),0)))</f>
        <v/>
      </c>
      <c r="N69" s="14" t="str">
        <f>IF(A69="","",IFERROR(INDEX(Puestos!$D$2:$D$100,MATCH(F69,Puestos!$A$2:$A$100,0)),0))</f>
        <v/>
      </c>
      <c r="O69" s="12" t="str">
        <f>IF(A69="","",IFERROR(INDEX(Puestos!$B$2:$B$100,MATCH(F69,Puestos!$A$2:$A$100,0)),""))</f>
        <v/>
      </c>
      <c r="P69" s="12" t="str">
        <f>IF(A69="","",IFERROR(INDEX(Plazas!$B$2:$B$100,MATCH(G69,Plazas!$A$2:$A$100,0)),""))</f>
        <v/>
      </c>
      <c r="Q69" t="s" s="0">
        <v>11</v>
      </c>
      <c r="R69" t="s" s="0">
        <v>11</v>
      </c>
      <c r="S69" t="s" s="0">
        <v>11</v>
      </c>
      <c r="T69" t="s" s="0">
        <v>11</v>
      </c>
      <c r="U69" t="s" s="0">
        <v>11</v>
      </c>
    </row>
    <row r="70" spans="1:21" x14ac:dyDescent="0.45">
      <c r="A70" s="9"/>
      <c r="B70" s="9"/>
      <c r="C70" s="9"/>
      <c r="D70" s="9"/>
      <c r="E70" s="12" t="str">
        <f t="shared" ref="E70:E101" si="2">IF(A70="","",TRIM(B70&amp;" "&amp;C70&amp;" "&amp;D70))</f>
        <v/>
      </c>
      <c r="F70" s="9"/>
      <c r="G70" s="9"/>
      <c r="H70" s="10"/>
      <c r="I70" s="15"/>
      <c r="J70" s="9"/>
      <c r="K70" s="9"/>
      <c r="L70" s="9"/>
      <c r="M70" s="14" t="str">
        <f>IF(A70="","",IF(H70&gt;0,H70,IFERROR(INDEX(Puestos!$C$2:$C$100,MATCH(F70,Puestos!$A$2:$A$100,0)),0)))</f>
        <v/>
      </c>
      <c r="N70" s="14" t="str">
        <f>IF(A70="","",IFERROR(INDEX(Puestos!$D$2:$D$100,MATCH(F70,Puestos!$A$2:$A$100,0)),0))</f>
        <v/>
      </c>
      <c r="O70" s="12" t="str">
        <f>IF(A70="","",IFERROR(INDEX(Puestos!$B$2:$B$100,MATCH(F70,Puestos!$A$2:$A$100,0)),""))</f>
        <v/>
      </c>
      <c r="P70" s="12" t="str">
        <f>IF(A70="","",IFERROR(INDEX(Plazas!$B$2:$B$100,MATCH(G70,Plazas!$A$2:$A$100,0)),""))</f>
        <v/>
      </c>
      <c r="Q70" t="s" s="0">
        <v>11</v>
      </c>
      <c r="R70" t="s" s="0">
        <v>11</v>
      </c>
      <c r="S70" t="s" s="0">
        <v>11</v>
      </c>
      <c r="T70" t="s" s="0">
        <v>11</v>
      </c>
      <c r="U70" t="s" s="0">
        <v>11</v>
      </c>
    </row>
    <row r="71" spans="1:21" x14ac:dyDescent="0.45">
      <c r="A71" s="9"/>
      <c r="B71" s="9"/>
      <c r="C71" s="9"/>
      <c r="D71" s="9"/>
      <c r="E71" s="12" t="str">
        <f t="shared" si="2"/>
        <v/>
      </c>
      <c r="F71" s="9"/>
      <c r="G71" s="9"/>
      <c r="H71" s="10"/>
      <c r="I71" s="15"/>
      <c r="J71" s="9"/>
      <c r="K71" s="9"/>
      <c r="L71" s="9"/>
      <c r="M71" s="14" t="str">
        <f>IF(A71="","",IF(H71&gt;0,H71,IFERROR(INDEX(Puestos!$C$2:$C$100,MATCH(F71,Puestos!$A$2:$A$100,0)),0)))</f>
        <v/>
      </c>
      <c r="N71" s="14" t="str">
        <f>IF(A71="","",IFERROR(INDEX(Puestos!$D$2:$D$100,MATCH(F71,Puestos!$A$2:$A$100,0)),0))</f>
        <v/>
      </c>
      <c r="O71" s="12" t="str">
        <f>IF(A71="","",IFERROR(INDEX(Puestos!$B$2:$B$100,MATCH(F71,Puestos!$A$2:$A$100,0)),""))</f>
        <v/>
      </c>
      <c r="P71" s="12" t="str">
        <f>IF(A71="","",IFERROR(INDEX(Plazas!$B$2:$B$100,MATCH(G71,Plazas!$A$2:$A$100,0)),""))</f>
        <v/>
      </c>
      <c r="Q71" t="s" s="0">
        <v>11</v>
      </c>
      <c r="R71" t="s" s="0">
        <v>11</v>
      </c>
      <c r="S71" t="s" s="0">
        <v>11</v>
      </c>
      <c r="T71" t="s" s="0">
        <v>11</v>
      </c>
      <c r="U71" t="s" s="0">
        <v>11</v>
      </c>
    </row>
    <row r="72" spans="1:21" x14ac:dyDescent="0.45">
      <c r="A72" s="9"/>
      <c r="B72" s="9"/>
      <c r="C72" s="9"/>
      <c r="D72" s="9"/>
      <c r="E72" s="12" t="str">
        <f t="shared" si="2"/>
        <v/>
      </c>
      <c r="F72" s="9"/>
      <c r="G72" s="9"/>
      <c r="H72" s="10"/>
      <c r="I72" s="15"/>
      <c r="J72" s="9"/>
      <c r="K72" s="9"/>
      <c r="L72" s="9"/>
      <c r="M72" s="14" t="str">
        <f>IF(A72="","",IF(H72&gt;0,H72,IFERROR(INDEX(Puestos!$C$2:$C$100,MATCH(F72,Puestos!$A$2:$A$100,0)),0)))</f>
        <v/>
      </c>
      <c r="N72" s="14" t="str">
        <f>IF(A72="","",IFERROR(INDEX(Puestos!$D$2:$D$100,MATCH(F72,Puestos!$A$2:$A$100,0)),0))</f>
        <v/>
      </c>
      <c r="O72" s="12" t="str">
        <f>IF(A72="","",IFERROR(INDEX(Puestos!$B$2:$B$100,MATCH(F72,Puestos!$A$2:$A$100,0)),""))</f>
        <v/>
      </c>
      <c r="P72" s="12" t="str">
        <f>IF(A72="","",IFERROR(INDEX(Plazas!$B$2:$B$100,MATCH(G72,Plazas!$A$2:$A$100,0)),""))</f>
        <v/>
      </c>
      <c r="Q72" t="s" s="0">
        <v>11</v>
      </c>
      <c r="R72" t="s" s="0">
        <v>11</v>
      </c>
      <c r="S72" t="s" s="0">
        <v>11</v>
      </c>
      <c r="T72" t="s" s="0">
        <v>11</v>
      </c>
      <c r="U72" t="s" s="0">
        <v>11</v>
      </c>
    </row>
    <row r="73" spans="1:21" x14ac:dyDescent="0.45">
      <c r="A73" s="9"/>
      <c r="B73" s="9"/>
      <c r="C73" s="9"/>
      <c r="D73" s="9"/>
      <c r="E73" s="12" t="str">
        <f t="shared" si="2"/>
        <v/>
      </c>
      <c r="F73" s="9"/>
      <c r="G73" s="9"/>
      <c r="H73" s="10"/>
      <c r="I73" s="15"/>
      <c r="J73" s="9"/>
      <c r="K73" s="9"/>
      <c r="L73" s="9"/>
      <c r="M73" s="14" t="str">
        <f>IF(A73="","",IF(H73&gt;0,H73,IFERROR(INDEX(Puestos!$C$2:$C$100,MATCH(F73,Puestos!$A$2:$A$100,0)),0)))</f>
        <v/>
      </c>
      <c r="N73" s="14" t="str">
        <f>IF(A73="","",IFERROR(INDEX(Puestos!$D$2:$D$100,MATCH(F73,Puestos!$A$2:$A$100,0)),0))</f>
        <v/>
      </c>
      <c r="O73" s="12" t="str">
        <f>IF(A73="","",IFERROR(INDEX(Puestos!$B$2:$B$100,MATCH(F73,Puestos!$A$2:$A$100,0)),""))</f>
        <v/>
      </c>
      <c r="P73" s="12" t="str">
        <f>IF(A73="","",IFERROR(INDEX(Plazas!$B$2:$B$100,MATCH(G73,Plazas!$A$2:$A$100,0)),""))</f>
        <v/>
      </c>
      <c r="Q73" t="s" s="0">
        <v>11</v>
      </c>
      <c r="R73" t="s" s="0">
        <v>11</v>
      </c>
      <c r="S73" t="s" s="0">
        <v>11</v>
      </c>
      <c r="T73" t="s" s="0">
        <v>11</v>
      </c>
      <c r="U73" t="s" s="0">
        <v>11</v>
      </c>
    </row>
    <row r="74" spans="1:21" x14ac:dyDescent="0.45">
      <c r="A74" s="9"/>
      <c r="B74" s="9"/>
      <c r="C74" s="9"/>
      <c r="D74" s="9"/>
      <c r="E74" s="12" t="str">
        <f t="shared" si="2"/>
        <v/>
      </c>
      <c r="F74" s="9"/>
      <c r="G74" s="9"/>
      <c r="H74" s="10"/>
      <c r="I74" s="15"/>
      <c r="J74" s="9"/>
      <c r="K74" s="9"/>
      <c r="L74" s="9"/>
      <c r="M74" s="14" t="str">
        <f>IF(A74="","",IF(H74&gt;0,H74,IFERROR(INDEX(Puestos!$C$2:$C$100,MATCH(F74,Puestos!$A$2:$A$100,0)),0)))</f>
        <v/>
      </c>
      <c r="N74" s="14" t="str">
        <f>IF(A74="","",IFERROR(INDEX(Puestos!$D$2:$D$100,MATCH(F74,Puestos!$A$2:$A$100,0)),0))</f>
        <v/>
      </c>
      <c r="O74" s="12" t="str">
        <f>IF(A74="","",IFERROR(INDEX(Puestos!$B$2:$B$100,MATCH(F74,Puestos!$A$2:$A$100,0)),""))</f>
        <v/>
      </c>
      <c r="P74" s="12" t="str">
        <f>IF(A74="","",IFERROR(INDEX(Plazas!$B$2:$B$100,MATCH(G74,Plazas!$A$2:$A$100,0)),""))</f>
        <v/>
      </c>
      <c r="Q74" t="s" s="0">
        <v>11</v>
      </c>
      <c r="R74" t="s" s="0">
        <v>11</v>
      </c>
      <c r="S74" t="s" s="0">
        <v>11</v>
      </c>
      <c r="T74" t="s" s="0">
        <v>11</v>
      </c>
      <c r="U74" t="s" s="0">
        <v>11</v>
      </c>
    </row>
    <row r="75" spans="1:21" x14ac:dyDescent="0.45">
      <c r="A75" s="9"/>
      <c r="B75" s="9"/>
      <c r="C75" s="9"/>
      <c r="D75" s="9"/>
      <c r="E75" s="12" t="str">
        <f t="shared" si="2"/>
        <v/>
      </c>
      <c r="F75" s="9"/>
      <c r="G75" s="9"/>
      <c r="H75" s="10"/>
      <c r="I75" s="15"/>
      <c r="J75" s="9"/>
      <c r="K75" s="9"/>
      <c r="L75" s="9"/>
      <c r="M75" s="14" t="str">
        <f>IF(A75="","",IF(H75&gt;0,H75,IFERROR(INDEX(Puestos!$C$2:$C$100,MATCH(F75,Puestos!$A$2:$A$100,0)),0)))</f>
        <v/>
      </c>
      <c r="N75" s="14" t="str">
        <f>IF(A75="","",IFERROR(INDEX(Puestos!$D$2:$D$100,MATCH(F75,Puestos!$A$2:$A$100,0)),0))</f>
        <v/>
      </c>
      <c r="O75" s="12" t="str">
        <f>IF(A75="","",IFERROR(INDEX(Puestos!$B$2:$B$100,MATCH(F75,Puestos!$A$2:$A$100,0)),""))</f>
        <v/>
      </c>
      <c r="P75" s="12" t="str">
        <f>IF(A75="","",IFERROR(INDEX(Plazas!$B$2:$B$100,MATCH(G75,Plazas!$A$2:$A$100,0)),""))</f>
        <v/>
      </c>
      <c r="Q75" t="s" s="0">
        <v>11</v>
      </c>
      <c r="R75" t="s" s="0">
        <v>11</v>
      </c>
      <c r="S75" t="s" s="0">
        <v>11</v>
      </c>
      <c r="T75" t="s" s="0">
        <v>11</v>
      </c>
      <c r="U75" t="s" s="0">
        <v>11</v>
      </c>
    </row>
    <row r="76" spans="1:21" x14ac:dyDescent="0.45">
      <c r="A76" s="9"/>
      <c r="B76" s="9"/>
      <c r="C76" s="9"/>
      <c r="D76" s="9"/>
      <c r="E76" s="12" t="str">
        <f t="shared" si="2"/>
        <v/>
      </c>
      <c r="F76" s="9"/>
      <c r="G76" s="9"/>
      <c r="H76" s="10"/>
      <c r="I76" s="15"/>
      <c r="J76" s="9"/>
      <c r="K76" s="9"/>
      <c r="L76" s="9"/>
      <c r="M76" s="14" t="str">
        <f>IF(A76="","",IF(H76&gt;0,H76,IFERROR(INDEX(Puestos!$C$2:$C$100,MATCH(F76,Puestos!$A$2:$A$100,0)),0)))</f>
        <v/>
      </c>
      <c r="N76" s="14" t="str">
        <f>IF(A76="","",IFERROR(INDEX(Puestos!$D$2:$D$100,MATCH(F76,Puestos!$A$2:$A$100,0)),0))</f>
        <v/>
      </c>
      <c r="O76" s="12" t="str">
        <f>IF(A76="","",IFERROR(INDEX(Puestos!$B$2:$B$100,MATCH(F76,Puestos!$A$2:$A$100,0)),""))</f>
        <v/>
      </c>
      <c r="P76" s="12" t="str">
        <f>IF(A76="","",IFERROR(INDEX(Plazas!$B$2:$B$100,MATCH(G76,Plazas!$A$2:$A$100,0)),""))</f>
        <v/>
      </c>
      <c r="Q76" t="s" s="0">
        <v>11</v>
      </c>
      <c r="R76" t="s" s="0">
        <v>11</v>
      </c>
      <c r="S76" t="s" s="0">
        <v>11</v>
      </c>
      <c r="T76" t="s" s="0">
        <v>11</v>
      </c>
      <c r="U76" t="s" s="0">
        <v>11</v>
      </c>
    </row>
    <row r="77" spans="1:21" x14ac:dyDescent="0.45">
      <c r="A77" s="9"/>
      <c r="B77" s="9"/>
      <c r="C77" s="9"/>
      <c r="D77" s="9"/>
      <c r="E77" s="12" t="str">
        <f t="shared" si="2"/>
        <v/>
      </c>
      <c r="F77" s="9"/>
      <c r="G77" s="9"/>
      <c r="H77" s="10"/>
      <c r="I77" s="15"/>
      <c r="J77" s="9"/>
      <c r="K77" s="9"/>
      <c r="L77" s="9"/>
      <c r="M77" s="14" t="str">
        <f>IF(A77="","",IF(H77&gt;0,H77,IFERROR(INDEX(Puestos!$C$2:$C$100,MATCH(F77,Puestos!$A$2:$A$100,0)),0)))</f>
        <v/>
      </c>
      <c r="N77" s="14" t="str">
        <f>IF(A77="","",IFERROR(INDEX(Puestos!$D$2:$D$100,MATCH(F77,Puestos!$A$2:$A$100,0)),0))</f>
        <v/>
      </c>
      <c r="O77" s="12" t="str">
        <f>IF(A77="","",IFERROR(INDEX(Puestos!$B$2:$B$100,MATCH(F77,Puestos!$A$2:$A$100,0)),""))</f>
        <v/>
      </c>
      <c r="P77" s="12" t="str">
        <f>IF(A77="","",IFERROR(INDEX(Plazas!$B$2:$B$100,MATCH(G77,Plazas!$A$2:$A$100,0)),""))</f>
        <v/>
      </c>
      <c r="Q77" t="s" s="0">
        <v>11</v>
      </c>
      <c r="R77" t="s" s="0">
        <v>11</v>
      </c>
      <c r="S77" t="s" s="0">
        <v>11</v>
      </c>
      <c r="T77" t="s" s="0">
        <v>11</v>
      </c>
      <c r="U77" t="s" s="0">
        <v>11</v>
      </c>
    </row>
    <row r="78" spans="1:21" x14ac:dyDescent="0.45">
      <c r="A78" s="9"/>
      <c r="B78" s="9"/>
      <c r="C78" s="9"/>
      <c r="D78" s="9"/>
      <c r="E78" s="12" t="str">
        <f t="shared" si="2"/>
        <v/>
      </c>
      <c r="F78" s="9"/>
      <c r="G78" s="9"/>
      <c r="H78" s="10"/>
      <c r="I78" s="15"/>
      <c r="J78" s="9"/>
      <c r="K78" s="9"/>
      <c r="L78" s="9"/>
      <c r="M78" s="14" t="str">
        <f>IF(A78="","",IF(H78&gt;0,H78,IFERROR(INDEX(Puestos!$C$2:$C$100,MATCH(F78,Puestos!$A$2:$A$100,0)),0)))</f>
        <v/>
      </c>
      <c r="N78" s="14" t="str">
        <f>IF(A78="","",IFERROR(INDEX(Puestos!$D$2:$D$100,MATCH(F78,Puestos!$A$2:$A$100,0)),0))</f>
        <v/>
      </c>
      <c r="O78" s="12" t="str">
        <f>IF(A78="","",IFERROR(INDEX(Puestos!$B$2:$B$100,MATCH(F78,Puestos!$A$2:$A$100,0)),""))</f>
        <v/>
      </c>
      <c r="P78" s="12" t="str">
        <f>IF(A78="","",IFERROR(INDEX(Plazas!$B$2:$B$100,MATCH(G78,Plazas!$A$2:$A$100,0)),""))</f>
        <v/>
      </c>
      <c r="Q78" t="s" s="0">
        <v>11</v>
      </c>
      <c r="R78" t="s" s="0">
        <v>11</v>
      </c>
      <c r="S78" t="s" s="0">
        <v>11</v>
      </c>
      <c r="T78" t="s" s="0">
        <v>11</v>
      </c>
      <c r="U78" t="s" s="0">
        <v>11</v>
      </c>
    </row>
    <row r="79" spans="1:21" x14ac:dyDescent="0.45">
      <c r="A79" s="9"/>
      <c r="B79" s="9"/>
      <c r="C79" s="9"/>
      <c r="D79" s="9"/>
      <c r="E79" s="12" t="str">
        <f t="shared" si="2"/>
        <v/>
      </c>
      <c r="F79" s="9"/>
      <c r="G79" s="9"/>
      <c r="H79" s="10"/>
      <c r="I79" s="15"/>
      <c r="J79" s="9"/>
      <c r="K79" s="9"/>
      <c r="L79" s="9"/>
      <c r="M79" s="14" t="str">
        <f>IF(A79="","",IF(H79&gt;0,H79,IFERROR(INDEX(Puestos!$C$2:$C$100,MATCH(F79,Puestos!$A$2:$A$100,0)),0)))</f>
        <v/>
      </c>
      <c r="N79" s="14" t="str">
        <f>IF(A79="","",IFERROR(INDEX(Puestos!$D$2:$D$100,MATCH(F79,Puestos!$A$2:$A$100,0)),0))</f>
        <v/>
      </c>
      <c r="O79" s="12" t="str">
        <f>IF(A79="","",IFERROR(INDEX(Puestos!$B$2:$B$100,MATCH(F79,Puestos!$A$2:$A$100,0)),""))</f>
        <v/>
      </c>
      <c r="P79" s="12" t="str">
        <f>IF(A79="","",IFERROR(INDEX(Plazas!$B$2:$B$100,MATCH(G79,Plazas!$A$2:$A$100,0)),""))</f>
        <v/>
      </c>
      <c r="Q79" t="s" s="0">
        <v>11</v>
      </c>
      <c r="R79" t="s" s="0">
        <v>11</v>
      </c>
      <c r="S79" t="s" s="0">
        <v>11</v>
      </c>
      <c r="T79" t="s" s="0">
        <v>11</v>
      </c>
      <c r="U79" t="s" s="0">
        <v>11</v>
      </c>
    </row>
    <row r="80" spans="1:21" x14ac:dyDescent="0.45">
      <c r="A80" s="9"/>
      <c r="B80" s="9"/>
      <c r="C80" s="9"/>
      <c r="D80" s="9"/>
      <c r="E80" s="12" t="str">
        <f t="shared" si="2"/>
        <v/>
      </c>
      <c r="F80" s="9"/>
      <c r="G80" s="9"/>
      <c r="H80" s="10"/>
      <c r="I80" s="15"/>
      <c r="J80" s="9"/>
      <c r="K80" s="9"/>
      <c r="L80" s="9"/>
      <c r="M80" s="14" t="str">
        <f>IF(A80="","",IF(H80&gt;0,H80,IFERROR(INDEX(Puestos!$C$2:$C$100,MATCH(F80,Puestos!$A$2:$A$100,0)),0)))</f>
        <v/>
      </c>
      <c r="N80" s="14" t="str">
        <f>IF(A80="","",IFERROR(INDEX(Puestos!$D$2:$D$100,MATCH(F80,Puestos!$A$2:$A$100,0)),0))</f>
        <v/>
      </c>
      <c r="O80" s="12" t="str">
        <f>IF(A80="","",IFERROR(INDEX(Puestos!$B$2:$B$100,MATCH(F80,Puestos!$A$2:$A$100,0)),""))</f>
        <v/>
      </c>
      <c r="P80" s="12" t="str">
        <f>IF(A80="","",IFERROR(INDEX(Plazas!$B$2:$B$100,MATCH(G80,Plazas!$A$2:$A$100,0)),""))</f>
        <v/>
      </c>
      <c r="Q80" t="s" s="0">
        <v>11</v>
      </c>
      <c r="R80" t="s" s="0">
        <v>11</v>
      </c>
      <c r="S80" t="s" s="0">
        <v>11</v>
      </c>
      <c r="T80" t="s" s="0">
        <v>11</v>
      </c>
      <c r="U80" t="s" s="0">
        <v>11</v>
      </c>
    </row>
    <row r="81" spans="1:21" x14ac:dyDescent="0.45">
      <c r="A81" s="9"/>
      <c r="B81" s="9"/>
      <c r="C81" s="9"/>
      <c r="D81" s="9"/>
      <c r="E81" s="12" t="str">
        <f t="shared" si="2"/>
        <v/>
      </c>
      <c r="F81" s="9"/>
      <c r="G81" s="9"/>
      <c r="H81" s="10"/>
      <c r="I81" s="15"/>
      <c r="J81" s="9"/>
      <c r="K81" s="9"/>
      <c r="L81" s="9"/>
      <c r="M81" s="14" t="str">
        <f>IF(A81="","",IF(H81&gt;0,H81,IFERROR(INDEX(Puestos!$C$2:$C$100,MATCH(F81,Puestos!$A$2:$A$100,0)),0)))</f>
        <v/>
      </c>
      <c r="N81" s="14" t="str">
        <f>IF(A81="","",IFERROR(INDEX(Puestos!$D$2:$D$100,MATCH(F81,Puestos!$A$2:$A$100,0)),0))</f>
        <v/>
      </c>
      <c r="O81" s="12" t="str">
        <f>IF(A81="","",IFERROR(INDEX(Puestos!$B$2:$B$100,MATCH(F81,Puestos!$A$2:$A$100,0)),""))</f>
        <v/>
      </c>
      <c r="P81" s="12" t="str">
        <f>IF(A81="","",IFERROR(INDEX(Plazas!$B$2:$B$100,MATCH(G81,Plazas!$A$2:$A$100,0)),""))</f>
        <v/>
      </c>
      <c r="Q81" t="s" s="0">
        <v>11</v>
      </c>
      <c r="R81" t="s" s="0">
        <v>11</v>
      </c>
      <c r="S81" t="s" s="0">
        <v>11</v>
      </c>
      <c r="T81" t="s" s="0">
        <v>11</v>
      </c>
      <c r="U81" t="s" s="0">
        <v>11</v>
      </c>
    </row>
    <row r="82" spans="1:21" x14ac:dyDescent="0.45">
      <c r="A82" s="9"/>
      <c r="B82" s="9"/>
      <c r="C82" s="9"/>
      <c r="D82" s="9"/>
      <c r="E82" s="12" t="str">
        <f t="shared" si="2"/>
        <v/>
      </c>
      <c r="F82" s="9"/>
      <c r="G82" s="9"/>
      <c r="H82" s="10"/>
      <c r="I82" s="15"/>
      <c r="J82" s="9"/>
      <c r="K82" s="9"/>
      <c r="L82" s="9"/>
      <c r="M82" s="14" t="str">
        <f>IF(A82="","",IF(H82&gt;0,H82,IFERROR(INDEX(Puestos!$C$2:$C$100,MATCH(F82,Puestos!$A$2:$A$100,0)),0)))</f>
        <v/>
      </c>
      <c r="N82" s="14" t="str">
        <f>IF(A82="","",IFERROR(INDEX(Puestos!$D$2:$D$100,MATCH(F82,Puestos!$A$2:$A$100,0)),0))</f>
        <v/>
      </c>
      <c r="O82" s="12" t="str">
        <f>IF(A82="","",IFERROR(INDEX(Puestos!$B$2:$B$100,MATCH(F82,Puestos!$A$2:$A$100,0)),""))</f>
        <v/>
      </c>
      <c r="P82" s="12" t="str">
        <f>IF(A82="","",IFERROR(INDEX(Plazas!$B$2:$B$100,MATCH(G82,Plazas!$A$2:$A$100,0)),""))</f>
        <v/>
      </c>
      <c r="Q82" t="s" s="0">
        <v>11</v>
      </c>
      <c r="R82" t="s" s="0">
        <v>11</v>
      </c>
      <c r="S82" t="s" s="0">
        <v>11</v>
      </c>
      <c r="T82" t="s" s="0">
        <v>11</v>
      </c>
      <c r="U82" t="s" s="0">
        <v>11</v>
      </c>
    </row>
    <row r="83" spans="1:21" x14ac:dyDescent="0.45">
      <c r="A83" s="9"/>
      <c r="B83" s="9"/>
      <c r="C83" s="9"/>
      <c r="D83" s="9"/>
      <c r="E83" s="12" t="str">
        <f t="shared" si="2"/>
        <v/>
      </c>
      <c r="F83" s="9"/>
      <c r="G83" s="9"/>
      <c r="H83" s="10"/>
      <c r="I83" s="15"/>
      <c r="J83" s="9"/>
      <c r="K83" s="9"/>
      <c r="L83" s="9"/>
      <c r="M83" s="14" t="str">
        <f>IF(A83="","",IF(H83&gt;0,H83,IFERROR(INDEX(Puestos!$C$2:$C$100,MATCH(F83,Puestos!$A$2:$A$100,0)),0)))</f>
        <v/>
      </c>
      <c r="N83" s="14" t="str">
        <f>IF(A83="","",IFERROR(INDEX(Puestos!$D$2:$D$100,MATCH(F83,Puestos!$A$2:$A$100,0)),0))</f>
        <v/>
      </c>
      <c r="O83" s="12" t="str">
        <f>IF(A83="","",IFERROR(INDEX(Puestos!$B$2:$B$100,MATCH(F83,Puestos!$A$2:$A$100,0)),""))</f>
        <v/>
      </c>
      <c r="P83" s="12" t="str">
        <f>IF(A83="","",IFERROR(INDEX(Plazas!$B$2:$B$100,MATCH(G83,Plazas!$A$2:$A$100,0)),""))</f>
        <v/>
      </c>
      <c r="Q83" t="s" s="0">
        <v>11</v>
      </c>
      <c r="R83" t="s" s="0">
        <v>11</v>
      </c>
      <c r="S83" t="s" s="0">
        <v>11</v>
      </c>
      <c r="T83" t="s" s="0">
        <v>11</v>
      </c>
      <c r="U83" t="s" s="0">
        <v>11</v>
      </c>
    </row>
    <row r="84" spans="1:21" x14ac:dyDescent="0.45">
      <c r="A84" s="9"/>
      <c r="B84" s="9"/>
      <c r="C84" s="9"/>
      <c r="D84" s="9"/>
      <c r="E84" s="12" t="str">
        <f t="shared" si="2"/>
        <v/>
      </c>
      <c r="F84" s="9"/>
      <c r="G84" s="9"/>
      <c r="H84" s="10"/>
      <c r="I84" s="15"/>
      <c r="J84" s="9"/>
      <c r="K84" s="9"/>
      <c r="L84" s="9"/>
      <c r="M84" s="14" t="str">
        <f>IF(A84="","",IF(H84&gt;0,H84,IFERROR(INDEX(Puestos!$C$2:$C$100,MATCH(F84,Puestos!$A$2:$A$100,0)),0)))</f>
        <v/>
      </c>
      <c r="N84" s="14" t="str">
        <f>IF(A84="","",IFERROR(INDEX(Puestos!$D$2:$D$100,MATCH(F84,Puestos!$A$2:$A$100,0)),0))</f>
        <v/>
      </c>
      <c r="O84" s="12" t="str">
        <f>IF(A84="","",IFERROR(INDEX(Puestos!$B$2:$B$100,MATCH(F84,Puestos!$A$2:$A$100,0)),""))</f>
        <v/>
      </c>
      <c r="P84" s="12" t="str">
        <f>IF(A84="","",IFERROR(INDEX(Plazas!$B$2:$B$100,MATCH(G84,Plazas!$A$2:$A$100,0)),""))</f>
        <v/>
      </c>
      <c r="Q84" t="s" s="0">
        <v>11</v>
      </c>
      <c r="R84" t="s" s="0">
        <v>11</v>
      </c>
      <c r="S84" t="s" s="0">
        <v>11</v>
      </c>
      <c r="T84" t="s" s="0">
        <v>11</v>
      </c>
      <c r="U84" t="s" s="0">
        <v>11</v>
      </c>
    </row>
    <row r="85" spans="1:21" x14ac:dyDescent="0.45">
      <c r="A85" s="9"/>
      <c r="B85" s="9"/>
      <c r="C85" s="9"/>
      <c r="D85" s="9"/>
      <c r="E85" s="12" t="str">
        <f t="shared" si="2"/>
        <v/>
      </c>
      <c r="F85" s="9"/>
      <c r="G85" s="9"/>
      <c r="H85" s="10"/>
      <c r="I85" s="15"/>
      <c r="J85" s="9"/>
      <c r="K85" s="9"/>
      <c r="L85" s="9"/>
      <c r="M85" s="14" t="str">
        <f>IF(A85="","",IF(H85&gt;0,H85,IFERROR(INDEX(Puestos!$C$2:$C$100,MATCH(F85,Puestos!$A$2:$A$100,0)),0)))</f>
        <v/>
      </c>
      <c r="N85" s="14" t="str">
        <f>IF(A85="","",IFERROR(INDEX(Puestos!$D$2:$D$100,MATCH(F85,Puestos!$A$2:$A$100,0)),0))</f>
        <v/>
      </c>
      <c r="O85" s="12" t="str">
        <f>IF(A85="","",IFERROR(INDEX(Puestos!$B$2:$B$100,MATCH(F85,Puestos!$A$2:$A$100,0)),""))</f>
        <v/>
      </c>
      <c r="P85" s="12" t="str">
        <f>IF(A85="","",IFERROR(INDEX(Plazas!$B$2:$B$100,MATCH(G85,Plazas!$A$2:$A$100,0)),""))</f>
        <v/>
      </c>
      <c r="Q85" t="s" s="0">
        <v>11</v>
      </c>
      <c r="R85" t="s" s="0">
        <v>11</v>
      </c>
      <c r="S85" t="s" s="0">
        <v>11</v>
      </c>
      <c r="T85" t="s" s="0">
        <v>11</v>
      </c>
      <c r="U85" t="s" s="0">
        <v>11</v>
      </c>
    </row>
    <row r="86" spans="1:21" x14ac:dyDescent="0.45">
      <c r="A86" s="9"/>
      <c r="B86" s="9"/>
      <c r="C86" s="9"/>
      <c r="D86" s="9"/>
      <c r="E86" s="12" t="str">
        <f t="shared" si="2"/>
        <v/>
      </c>
      <c r="F86" s="9"/>
      <c r="G86" s="9"/>
      <c r="H86" s="10"/>
      <c r="I86" s="15"/>
      <c r="J86" s="9"/>
      <c r="K86" s="9"/>
      <c r="L86" s="9"/>
      <c r="M86" s="14" t="str">
        <f>IF(A86="","",IF(H86&gt;0,H86,IFERROR(INDEX(Puestos!$C$2:$C$100,MATCH(F86,Puestos!$A$2:$A$100,0)),0)))</f>
        <v/>
      </c>
      <c r="N86" s="14" t="str">
        <f>IF(A86="","",IFERROR(INDEX(Puestos!$D$2:$D$100,MATCH(F86,Puestos!$A$2:$A$100,0)),0))</f>
        <v/>
      </c>
      <c r="O86" s="12" t="str">
        <f>IF(A86="","",IFERROR(INDEX(Puestos!$B$2:$B$100,MATCH(F86,Puestos!$A$2:$A$100,0)),""))</f>
        <v/>
      </c>
      <c r="P86" s="12" t="str">
        <f>IF(A86="","",IFERROR(INDEX(Plazas!$B$2:$B$100,MATCH(G86,Plazas!$A$2:$A$100,0)),""))</f>
        <v/>
      </c>
      <c r="Q86" t="s" s="0">
        <v>11</v>
      </c>
      <c r="R86" t="s" s="0">
        <v>11</v>
      </c>
      <c r="S86" t="s" s="0">
        <v>11</v>
      </c>
      <c r="T86" t="s" s="0">
        <v>11</v>
      </c>
      <c r="U86" t="s" s="0">
        <v>11</v>
      </c>
    </row>
    <row r="87" spans="1:21" x14ac:dyDescent="0.45">
      <c r="A87" s="9"/>
      <c r="B87" s="9"/>
      <c r="C87" s="9"/>
      <c r="D87" s="9"/>
      <c r="E87" s="12" t="str">
        <f t="shared" si="2"/>
        <v/>
      </c>
      <c r="F87" s="9"/>
      <c r="G87" s="9"/>
      <c r="H87" s="10"/>
      <c r="I87" s="15"/>
      <c r="J87" s="9"/>
      <c r="K87" s="9"/>
      <c r="L87" s="9"/>
      <c r="M87" s="14" t="str">
        <f>IF(A87="","",IF(H87&gt;0,H87,IFERROR(INDEX(Puestos!$C$2:$C$100,MATCH(F87,Puestos!$A$2:$A$100,0)),0)))</f>
        <v/>
      </c>
      <c r="N87" s="14" t="str">
        <f>IF(A87="","",IFERROR(INDEX(Puestos!$D$2:$D$100,MATCH(F87,Puestos!$A$2:$A$100,0)),0))</f>
        <v/>
      </c>
      <c r="O87" s="12" t="str">
        <f>IF(A87="","",IFERROR(INDEX(Puestos!$B$2:$B$100,MATCH(F87,Puestos!$A$2:$A$100,0)),""))</f>
        <v/>
      </c>
      <c r="P87" s="12" t="str">
        <f>IF(A87="","",IFERROR(INDEX(Plazas!$B$2:$B$100,MATCH(G87,Plazas!$A$2:$A$100,0)),""))</f>
        <v/>
      </c>
      <c r="Q87" t="s" s="0">
        <v>11</v>
      </c>
      <c r="R87" t="s" s="0">
        <v>11</v>
      </c>
      <c r="S87" t="s" s="0">
        <v>11</v>
      </c>
      <c r="T87" t="s" s="0">
        <v>11</v>
      </c>
      <c r="U87" t="s" s="0">
        <v>11</v>
      </c>
    </row>
    <row r="88" spans="1:21" x14ac:dyDescent="0.45">
      <c r="A88" s="9"/>
      <c r="B88" s="9"/>
      <c r="C88" s="9"/>
      <c r="D88" s="9"/>
      <c r="E88" s="12" t="str">
        <f t="shared" si="2"/>
        <v/>
      </c>
      <c r="F88" s="9"/>
      <c r="G88" s="9"/>
      <c r="H88" s="10"/>
      <c r="I88" s="15"/>
      <c r="J88" s="9"/>
      <c r="K88" s="9"/>
      <c r="L88" s="9"/>
      <c r="M88" s="14" t="str">
        <f>IF(A88="","",IF(H88&gt;0,H88,IFERROR(INDEX(Puestos!$C$2:$C$100,MATCH(F88,Puestos!$A$2:$A$100,0)),0)))</f>
        <v/>
      </c>
      <c r="N88" s="14" t="str">
        <f>IF(A88="","",IFERROR(INDEX(Puestos!$D$2:$D$100,MATCH(F88,Puestos!$A$2:$A$100,0)),0))</f>
        <v/>
      </c>
      <c r="O88" s="12" t="str">
        <f>IF(A88="","",IFERROR(INDEX(Puestos!$B$2:$B$100,MATCH(F88,Puestos!$A$2:$A$100,0)),""))</f>
        <v/>
      </c>
      <c r="P88" s="12" t="str">
        <f>IF(A88="","",IFERROR(INDEX(Plazas!$B$2:$B$100,MATCH(G88,Plazas!$A$2:$A$100,0)),""))</f>
        <v/>
      </c>
      <c r="Q88" t="s" s="0">
        <v>11</v>
      </c>
      <c r="R88" t="s" s="0">
        <v>11</v>
      </c>
      <c r="S88" t="s" s="0">
        <v>11</v>
      </c>
      <c r="T88" t="s" s="0">
        <v>11</v>
      </c>
      <c r="U88" t="s" s="0">
        <v>11</v>
      </c>
    </row>
    <row r="89" spans="1:21" x14ac:dyDescent="0.45">
      <c r="A89" s="9"/>
      <c r="B89" s="9"/>
      <c r="C89" s="9"/>
      <c r="D89" s="9"/>
      <c r="E89" s="12" t="str">
        <f t="shared" si="2"/>
        <v/>
      </c>
      <c r="F89" s="9"/>
      <c r="G89" s="9"/>
      <c r="H89" s="10"/>
      <c r="I89" s="15"/>
      <c r="J89" s="9"/>
      <c r="K89" s="9"/>
      <c r="L89" s="9"/>
      <c r="M89" s="14" t="str">
        <f>IF(A89="","",IF(H89&gt;0,H89,IFERROR(INDEX(Puestos!$C$2:$C$100,MATCH(F89,Puestos!$A$2:$A$100,0)),0)))</f>
        <v/>
      </c>
      <c r="N89" s="14" t="str">
        <f>IF(A89="","",IFERROR(INDEX(Puestos!$D$2:$D$100,MATCH(F89,Puestos!$A$2:$A$100,0)),0))</f>
        <v/>
      </c>
      <c r="O89" s="12" t="str">
        <f>IF(A89="","",IFERROR(INDEX(Puestos!$B$2:$B$100,MATCH(F89,Puestos!$A$2:$A$100,0)),""))</f>
        <v/>
      </c>
      <c r="P89" s="12" t="str">
        <f>IF(A89="","",IFERROR(INDEX(Plazas!$B$2:$B$100,MATCH(G89,Plazas!$A$2:$A$100,0)),""))</f>
        <v/>
      </c>
      <c r="Q89" t="s" s="0">
        <v>11</v>
      </c>
      <c r="R89" t="s" s="0">
        <v>11</v>
      </c>
      <c r="S89" t="s" s="0">
        <v>11</v>
      </c>
      <c r="T89" t="s" s="0">
        <v>11</v>
      </c>
      <c r="U89" t="s" s="0">
        <v>11</v>
      </c>
    </row>
    <row r="90" spans="1:21" x14ac:dyDescent="0.45">
      <c r="A90" s="9"/>
      <c r="B90" s="9"/>
      <c r="C90" s="9"/>
      <c r="D90" s="9"/>
      <c r="E90" s="12" t="str">
        <f t="shared" si="2"/>
        <v/>
      </c>
      <c r="F90" s="9"/>
      <c r="G90" s="9"/>
      <c r="H90" s="10"/>
      <c r="I90" s="15"/>
      <c r="J90" s="9"/>
      <c r="K90" s="9"/>
      <c r="L90" s="9"/>
      <c r="M90" s="14" t="str">
        <f>IF(A90="","",IF(H90&gt;0,H90,IFERROR(INDEX(Puestos!$C$2:$C$100,MATCH(F90,Puestos!$A$2:$A$100,0)),0)))</f>
        <v/>
      </c>
      <c r="N90" s="14" t="str">
        <f>IF(A90="","",IFERROR(INDEX(Puestos!$D$2:$D$100,MATCH(F90,Puestos!$A$2:$A$100,0)),0))</f>
        <v/>
      </c>
      <c r="O90" s="12" t="str">
        <f>IF(A90="","",IFERROR(INDEX(Puestos!$B$2:$B$100,MATCH(F90,Puestos!$A$2:$A$100,0)),""))</f>
        <v/>
      </c>
      <c r="P90" s="12" t="str">
        <f>IF(A90="","",IFERROR(INDEX(Plazas!$B$2:$B$100,MATCH(G90,Plazas!$A$2:$A$100,0)),""))</f>
        <v/>
      </c>
      <c r="Q90" t="s" s="0">
        <v>11</v>
      </c>
      <c r="R90" t="s" s="0">
        <v>11</v>
      </c>
      <c r="S90" t="s" s="0">
        <v>11</v>
      </c>
      <c r="T90" t="s" s="0">
        <v>11</v>
      </c>
      <c r="U90" t="s" s="0">
        <v>11</v>
      </c>
    </row>
    <row r="91" spans="1:21" x14ac:dyDescent="0.45">
      <c r="A91" s="9"/>
      <c r="B91" s="9"/>
      <c r="C91" s="9"/>
      <c r="D91" s="9"/>
      <c r="E91" s="12" t="str">
        <f t="shared" si="2"/>
        <v/>
      </c>
      <c r="F91" s="9"/>
      <c r="G91" s="9"/>
      <c r="H91" s="10"/>
      <c r="I91" s="15"/>
      <c r="J91" s="9"/>
      <c r="K91" s="9"/>
      <c r="L91" s="9"/>
      <c r="M91" s="14" t="str">
        <f>IF(A91="","",IF(H91&gt;0,H91,IFERROR(INDEX(Puestos!$C$2:$C$100,MATCH(F91,Puestos!$A$2:$A$100,0)),0)))</f>
        <v/>
      </c>
      <c r="N91" s="14" t="str">
        <f>IF(A91="","",IFERROR(INDEX(Puestos!$D$2:$D$100,MATCH(F91,Puestos!$A$2:$A$100,0)),0))</f>
        <v/>
      </c>
      <c r="O91" s="12" t="str">
        <f>IF(A91="","",IFERROR(INDEX(Puestos!$B$2:$B$100,MATCH(F91,Puestos!$A$2:$A$100,0)),""))</f>
        <v/>
      </c>
      <c r="P91" s="12" t="str">
        <f>IF(A91="","",IFERROR(INDEX(Plazas!$B$2:$B$100,MATCH(G91,Plazas!$A$2:$A$100,0)),""))</f>
        <v/>
      </c>
      <c r="Q91" t="s" s="0">
        <v>11</v>
      </c>
      <c r="R91" t="s" s="0">
        <v>11</v>
      </c>
      <c r="S91" t="s" s="0">
        <v>11</v>
      </c>
      <c r="T91" t="s" s="0">
        <v>11</v>
      </c>
      <c r="U91" t="s" s="0">
        <v>11</v>
      </c>
    </row>
    <row r="92" spans="1:21" x14ac:dyDescent="0.45">
      <c r="A92" s="9"/>
      <c r="B92" s="9"/>
      <c r="C92" s="9"/>
      <c r="D92" s="9"/>
      <c r="E92" s="12" t="str">
        <f t="shared" si="2"/>
        <v/>
      </c>
      <c r="F92" s="9"/>
      <c r="G92" s="9"/>
      <c r="H92" s="10"/>
      <c r="I92" s="15"/>
      <c r="J92" s="9"/>
      <c r="K92" s="9"/>
      <c r="L92" s="9"/>
      <c r="M92" s="14" t="str">
        <f>IF(A92="","",IF(H92&gt;0,H92,IFERROR(INDEX(Puestos!$C$2:$C$100,MATCH(F92,Puestos!$A$2:$A$100,0)),0)))</f>
        <v/>
      </c>
      <c r="N92" s="14" t="str">
        <f>IF(A92="","",IFERROR(INDEX(Puestos!$D$2:$D$100,MATCH(F92,Puestos!$A$2:$A$100,0)),0))</f>
        <v/>
      </c>
      <c r="O92" s="12" t="str">
        <f>IF(A92="","",IFERROR(INDEX(Puestos!$B$2:$B$100,MATCH(F92,Puestos!$A$2:$A$100,0)),""))</f>
        <v/>
      </c>
      <c r="P92" s="12" t="str">
        <f>IF(A92="","",IFERROR(INDEX(Plazas!$B$2:$B$100,MATCH(G92,Plazas!$A$2:$A$100,0)),""))</f>
        <v/>
      </c>
      <c r="Q92" t="s" s="0">
        <v>11</v>
      </c>
      <c r="R92" t="s" s="0">
        <v>11</v>
      </c>
      <c r="S92" t="s" s="0">
        <v>11</v>
      </c>
      <c r="T92" t="s" s="0">
        <v>11</v>
      </c>
      <c r="U92" t="s" s="0">
        <v>11</v>
      </c>
    </row>
    <row r="93" spans="1:21" x14ac:dyDescent="0.45">
      <c r="A93" s="9"/>
      <c r="B93" s="9"/>
      <c r="C93" s="9"/>
      <c r="D93" s="9"/>
      <c r="E93" s="12" t="str">
        <f t="shared" si="2"/>
        <v/>
      </c>
      <c r="F93" s="9"/>
      <c r="G93" s="9"/>
      <c r="H93" s="10"/>
      <c r="I93" s="15"/>
      <c r="J93" s="9"/>
      <c r="K93" s="9"/>
      <c r="L93" s="9"/>
      <c r="M93" s="14" t="str">
        <f>IF(A93="","",IF(H93&gt;0,H93,IFERROR(INDEX(Puestos!$C$2:$C$100,MATCH(F93,Puestos!$A$2:$A$100,0)),0)))</f>
        <v/>
      </c>
      <c r="N93" s="14" t="str">
        <f>IF(A93="","",IFERROR(INDEX(Puestos!$D$2:$D$100,MATCH(F93,Puestos!$A$2:$A$100,0)),0))</f>
        <v/>
      </c>
      <c r="O93" s="12" t="str">
        <f>IF(A93="","",IFERROR(INDEX(Puestos!$B$2:$B$100,MATCH(F93,Puestos!$A$2:$A$100,0)),""))</f>
        <v/>
      </c>
      <c r="P93" s="12" t="str">
        <f>IF(A93="","",IFERROR(INDEX(Plazas!$B$2:$B$100,MATCH(G93,Plazas!$A$2:$A$100,0)),""))</f>
        <v/>
      </c>
      <c r="Q93" t="s" s="0">
        <v>11</v>
      </c>
      <c r="R93" t="s" s="0">
        <v>11</v>
      </c>
      <c r="S93" t="s" s="0">
        <v>11</v>
      </c>
      <c r="T93" t="s" s="0">
        <v>11</v>
      </c>
      <c r="U93" t="s" s="0">
        <v>11</v>
      </c>
    </row>
    <row r="94" spans="1:21" x14ac:dyDescent="0.45">
      <c r="A94" s="9"/>
      <c r="B94" s="9"/>
      <c r="C94" s="9"/>
      <c r="D94" s="9"/>
      <c r="E94" s="12" t="str">
        <f t="shared" si="2"/>
        <v/>
      </c>
      <c r="F94" s="9"/>
      <c r="G94" s="9"/>
      <c r="H94" s="10"/>
      <c r="I94" s="15"/>
      <c r="J94" s="9"/>
      <c r="K94" s="9"/>
      <c r="L94" s="9"/>
      <c r="M94" s="14" t="str">
        <f>IF(A94="","",IF(H94&gt;0,H94,IFERROR(INDEX(Puestos!$C$2:$C$100,MATCH(F94,Puestos!$A$2:$A$100,0)),0)))</f>
        <v/>
      </c>
      <c r="N94" s="14" t="str">
        <f>IF(A94="","",IFERROR(INDEX(Puestos!$D$2:$D$100,MATCH(F94,Puestos!$A$2:$A$100,0)),0))</f>
        <v/>
      </c>
      <c r="O94" s="12" t="str">
        <f>IF(A94="","",IFERROR(INDEX(Puestos!$B$2:$B$100,MATCH(F94,Puestos!$A$2:$A$100,0)),""))</f>
        <v/>
      </c>
      <c r="P94" s="12" t="str">
        <f>IF(A94="","",IFERROR(INDEX(Plazas!$B$2:$B$100,MATCH(G94,Plazas!$A$2:$A$100,0)),""))</f>
        <v/>
      </c>
      <c r="Q94" t="s" s="0">
        <v>11</v>
      </c>
      <c r="R94" t="s" s="0">
        <v>11</v>
      </c>
      <c r="S94" t="s" s="0">
        <v>11</v>
      </c>
      <c r="T94" t="s" s="0">
        <v>11</v>
      </c>
      <c r="U94" t="s" s="0">
        <v>11</v>
      </c>
    </row>
    <row r="95" spans="1:21" x14ac:dyDescent="0.45">
      <c r="A95" s="9"/>
      <c r="B95" s="9"/>
      <c r="C95" s="9"/>
      <c r="D95" s="9"/>
      <c r="E95" s="12" t="str">
        <f t="shared" si="2"/>
        <v/>
      </c>
      <c r="F95" s="9"/>
      <c r="G95" s="9"/>
      <c r="H95" s="10"/>
      <c r="I95" s="15"/>
      <c r="J95" s="9"/>
      <c r="K95" s="9"/>
      <c r="L95" s="9"/>
      <c r="M95" s="14" t="str">
        <f>IF(A95="","",IF(H95&gt;0,H95,IFERROR(INDEX(Puestos!$C$2:$C$100,MATCH(F95,Puestos!$A$2:$A$100,0)),0)))</f>
        <v/>
      </c>
      <c r="N95" s="14" t="str">
        <f>IF(A95="","",IFERROR(INDEX(Puestos!$D$2:$D$100,MATCH(F95,Puestos!$A$2:$A$100,0)),0))</f>
        <v/>
      </c>
      <c r="O95" s="12" t="str">
        <f>IF(A95="","",IFERROR(INDEX(Puestos!$B$2:$B$100,MATCH(F95,Puestos!$A$2:$A$100,0)),""))</f>
        <v/>
      </c>
      <c r="P95" s="12" t="str">
        <f>IF(A95="","",IFERROR(INDEX(Plazas!$B$2:$B$100,MATCH(G95,Plazas!$A$2:$A$100,0)),""))</f>
        <v/>
      </c>
      <c r="Q95" t="s" s="0">
        <v>11</v>
      </c>
      <c r="R95" t="s" s="0">
        <v>11</v>
      </c>
      <c r="S95" t="s" s="0">
        <v>11</v>
      </c>
      <c r="T95" t="s" s="0">
        <v>11</v>
      </c>
      <c r="U95" t="s" s="0">
        <v>11</v>
      </c>
    </row>
    <row r="96" spans="1:21" x14ac:dyDescent="0.45">
      <c r="A96" s="9"/>
      <c r="B96" s="9"/>
      <c r="C96" s="9"/>
      <c r="D96" s="9"/>
      <c r="E96" s="12" t="str">
        <f t="shared" si="2"/>
        <v/>
      </c>
      <c r="F96" s="9"/>
      <c r="G96" s="9"/>
      <c r="H96" s="10"/>
      <c r="I96" s="15"/>
      <c r="J96" s="9"/>
      <c r="K96" s="9"/>
      <c r="L96" s="9"/>
      <c r="M96" s="14" t="str">
        <f>IF(A96="","",IF(H96&gt;0,H96,IFERROR(INDEX(Puestos!$C$2:$C$100,MATCH(F96,Puestos!$A$2:$A$100,0)),0)))</f>
        <v/>
      </c>
      <c r="N96" s="14" t="str">
        <f>IF(A96="","",IFERROR(INDEX(Puestos!$D$2:$D$100,MATCH(F96,Puestos!$A$2:$A$100,0)),0))</f>
        <v/>
      </c>
      <c r="O96" s="12" t="str">
        <f>IF(A96="","",IFERROR(INDEX(Puestos!$B$2:$B$100,MATCH(F96,Puestos!$A$2:$A$100,0)),""))</f>
        <v/>
      </c>
      <c r="P96" s="12" t="str">
        <f>IF(A96="","",IFERROR(INDEX(Plazas!$B$2:$B$100,MATCH(G96,Plazas!$A$2:$A$100,0)),""))</f>
        <v/>
      </c>
      <c r="Q96" t="s" s="0">
        <v>11</v>
      </c>
      <c r="R96" t="s" s="0">
        <v>11</v>
      </c>
      <c r="S96" t="s" s="0">
        <v>11</v>
      </c>
      <c r="T96" t="s" s="0">
        <v>11</v>
      </c>
      <c r="U96" t="s" s="0">
        <v>11</v>
      </c>
    </row>
    <row r="97" spans="1:21" x14ac:dyDescent="0.45">
      <c r="A97" s="9"/>
      <c r="B97" s="9"/>
      <c r="C97" s="9"/>
      <c r="D97" s="9"/>
      <c r="E97" s="12" t="str">
        <f t="shared" si="2"/>
        <v/>
      </c>
      <c r="F97" s="9"/>
      <c r="G97" s="9"/>
      <c r="H97" s="10"/>
      <c r="I97" s="15"/>
      <c r="J97" s="9"/>
      <c r="K97" s="9"/>
      <c r="L97" s="9"/>
      <c r="M97" s="14" t="str">
        <f>IF(A97="","",IF(H97&gt;0,H97,IFERROR(INDEX(Puestos!$C$2:$C$100,MATCH(F97,Puestos!$A$2:$A$100,0)),0)))</f>
        <v/>
      </c>
      <c r="N97" s="14" t="str">
        <f>IF(A97="","",IFERROR(INDEX(Puestos!$D$2:$D$100,MATCH(F97,Puestos!$A$2:$A$100,0)),0))</f>
        <v/>
      </c>
      <c r="O97" s="12" t="str">
        <f>IF(A97="","",IFERROR(INDEX(Puestos!$B$2:$B$100,MATCH(F97,Puestos!$A$2:$A$100,0)),""))</f>
        <v/>
      </c>
      <c r="P97" s="12" t="str">
        <f>IF(A97="","",IFERROR(INDEX(Plazas!$B$2:$B$100,MATCH(G97,Plazas!$A$2:$A$100,0)),""))</f>
        <v/>
      </c>
      <c r="Q97" t="s" s="0">
        <v>11</v>
      </c>
      <c r="R97" t="s" s="0">
        <v>11</v>
      </c>
      <c r="S97" t="s" s="0">
        <v>11</v>
      </c>
      <c r="T97" t="s" s="0">
        <v>11</v>
      </c>
      <c r="U97" t="s" s="0">
        <v>11</v>
      </c>
    </row>
    <row r="98" spans="1:21" x14ac:dyDescent="0.45">
      <c r="A98" s="9"/>
      <c r="B98" s="9"/>
      <c r="C98" s="9"/>
      <c r="D98" s="9"/>
      <c r="E98" s="12" t="str">
        <f t="shared" si="2"/>
        <v/>
      </c>
      <c r="F98" s="9"/>
      <c r="G98" s="9"/>
      <c r="H98" s="10"/>
      <c r="I98" s="15"/>
      <c r="J98" s="9"/>
      <c r="K98" s="9"/>
      <c r="L98" s="9"/>
      <c r="M98" s="14" t="str">
        <f>IF(A98="","",IF(H98&gt;0,H98,IFERROR(INDEX(Puestos!$C$2:$C$100,MATCH(F98,Puestos!$A$2:$A$100,0)),0)))</f>
        <v/>
      </c>
      <c r="N98" s="14" t="str">
        <f>IF(A98="","",IFERROR(INDEX(Puestos!$D$2:$D$100,MATCH(F98,Puestos!$A$2:$A$100,0)),0))</f>
        <v/>
      </c>
      <c r="O98" s="12" t="str">
        <f>IF(A98="","",IFERROR(INDEX(Puestos!$B$2:$B$100,MATCH(F98,Puestos!$A$2:$A$100,0)),""))</f>
        <v/>
      </c>
      <c r="P98" s="12" t="str">
        <f>IF(A98="","",IFERROR(INDEX(Plazas!$B$2:$B$100,MATCH(G98,Plazas!$A$2:$A$100,0)),""))</f>
        <v/>
      </c>
      <c r="Q98" t="s" s="0">
        <v>11</v>
      </c>
      <c r="R98" t="s" s="0">
        <v>11</v>
      </c>
      <c r="S98" t="s" s="0">
        <v>11</v>
      </c>
      <c r="T98" t="s" s="0">
        <v>11</v>
      </c>
      <c r="U98" t="s" s="0">
        <v>11</v>
      </c>
    </row>
    <row r="99" spans="1:21" x14ac:dyDescent="0.45">
      <c r="A99" s="9"/>
      <c r="B99" s="9"/>
      <c r="C99" s="9"/>
      <c r="D99" s="9"/>
      <c r="E99" s="12" t="str">
        <f t="shared" si="2"/>
        <v/>
      </c>
      <c r="F99" s="9"/>
      <c r="G99" s="9"/>
      <c r="H99" s="10"/>
      <c r="I99" s="15"/>
      <c r="J99" s="9"/>
      <c r="K99" s="9"/>
      <c r="L99" s="9"/>
      <c r="M99" s="14" t="str">
        <f>IF(A99="","",IF(H99&gt;0,H99,IFERROR(INDEX(Puestos!$C$2:$C$100,MATCH(F99,Puestos!$A$2:$A$100,0)),0)))</f>
        <v/>
      </c>
      <c r="N99" s="14" t="str">
        <f>IF(A99="","",IFERROR(INDEX(Puestos!$D$2:$D$100,MATCH(F99,Puestos!$A$2:$A$100,0)),0))</f>
        <v/>
      </c>
      <c r="O99" s="12" t="str">
        <f>IF(A99="","",IFERROR(INDEX(Puestos!$B$2:$B$100,MATCH(F99,Puestos!$A$2:$A$100,0)),""))</f>
        <v/>
      </c>
      <c r="P99" s="12" t="str">
        <f>IF(A99="","",IFERROR(INDEX(Plazas!$B$2:$B$100,MATCH(G99,Plazas!$A$2:$A$100,0)),""))</f>
        <v/>
      </c>
      <c r="Q99" t="s" s="0">
        <v>11</v>
      </c>
      <c r="R99" t="s" s="0">
        <v>11</v>
      </c>
      <c r="S99" t="s" s="0">
        <v>11</v>
      </c>
      <c r="T99" t="s" s="0">
        <v>11</v>
      </c>
      <c r="U99" t="s" s="0">
        <v>11</v>
      </c>
    </row>
    <row r="100" spans="1:21" x14ac:dyDescent="0.45">
      <c r="A100" s="9"/>
      <c r="B100" s="9"/>
      <c r="C100" s="9"/>
      <c r="D100" s="9"/>
      <c r="E100" s="12" t="str">
        <f t="shared" si="2"/>
        <v/>
      </c>
      <c r="F100" s="9"/>
      <c r="G100" s="9"/>
      <c r="H100" s="10"/>
      <c r="I100" s="15"/>
      <c r="J100" s="9"/>
      <c r="K100" s="9"/>
      <c r="L100" s="9"/>
      <c r="M100" s="14" t="str">
        <f>IF(A100="","",IF(H100&gt;0,H100,IFERROR(INDEX(Puestos!$C$2:$C$100,MATCH(F100,Puestos!$A$2:$A$100,0)),0)))</f>
        <v/>
      </c>
      <c r="N100" s="14" t="str">
        <f>IF(A100="","",IFERROR(INDEX(Puestos!$D$2:$D$100,MATCH(F100,Puestos!$A$2:$A$100,0)),0))</f>
        <v/>
      </c>
      <c r="O100" s="12" t="str">
        <f>IF(A100="","",IFERROR(INDEX(Puestos!$B$2:$B$100,MATCH(F100,Puestos!$A$2:$A$100,0)),""))</f>
        <v/>
      </c>
      <c r="P100" s="12" t="str">
        <f>IF(A100="","",IFERROR(INDEX(Plazas!$B$2:$B$100,MATCH(G100,Plazas!$A$2:$A$100,0)),""))</f>
        <v/>
      </c>
      <c r="Q100" t="s" s="0">
        <v>11</v>
      </c>
      <c r="R100" t="s" s="0">
        <v>11</v>
      </c>
      <c r="S100" t="s" s="0">
        <v>11</v>
      </c>
      <c r="T100" t="s" s="0">
        <v>11</v>
      </c>
      <c r="U100" t="s" s="0">
        <v>11</v>
      </c>
    </row>
    <row r="101" spans="1:21" x14ac:dyDescent="0.45">
      <c r="A101" s="9"/>
      <c r="B101" s="9"/>
      <c r="C101" s="9"/>
      <c r="D101" s="9"/>
      <c r="E101" s="12" t="str">
        <f t="shared" si="2"/>
        <v/>
      </c>
      <c r="F101" s="9"/>
      <c r="G101" s="9"/>
      <c r="H101" s="10"/>
      <c r="I101" s="15"/>
      <c r="J101" s="9"/>
      <c r="K101" s="9"/>
      <c r="L101" s="9"/>
      <c r="M101" s="14" t="str">
        <f>IF(A101="","",IF(H101&gt;0,H101,IFERROR(INDEX(Puestos!$C$2:$C$100,MATCH(F101,Puestos!$A$2:$A$100,0)),0)))</f>
        <v/>
      </c>
      <c r="N101" s="14" t="str">
        <f>IF(A101="","",IFERROR(INDEX(Puestos!$D$2:$D$100,MATCH(F101,Puestos!$A$2:$A$100,0)),0))</f>
        <v/>
      </c>
      <c r="O101" s="12" t="str">
        <f>IF(A101="","",IFERROR(INDEX(Puestos!$B$2:$B$100,MATCH(F101,Puestos!$A$2:$A$100,0)),""))</f>
        <v/>
      </c>
      <c r="P101" s="12" t="str">
        <f>IF(A101="","",IFERROR(INDEX(Plazas!$B$2:$B$100,MATCH(G101,Plazas!$A$2:$A$100,0)),""))</f>
        <v/>
      </c>
      <c r="Q101" t="s" s="0">
        <v>11</v>
      </c>
      <c r="R101" t="s" s="0">
        <v>11</v>
      </c>
      <c r="S101" t="s" s="0">
        <v>11</v>
      </c>
      <c r="T101" t="s" s="0">
        <v>11</v>
      </c>
      <c r="U101" t="s" s="0">
        <v>11</v>
      </c>
    </row>
    <row r="102" spans="1:21" x14ac:dyDescent="0.45">
      <c r="A102" s="9"/>
      <c r="B102" s="9"/>
      <c r="C102" s="9"/>
      <c r="D102" s="9"/>
      <c r="E102" s="12" t="str">
        <f t="shared" ref="E102:E133" si="3">IF(A102="","",TRIM(B102&amp;" "&amp;C102&amp;" "&amp;D102))</f>
        <v/>
      </c>
      <c r="F102" s="9"/>
      <c r="G102" s="9"/>
      <c r="H102" s="10"/>
      <c r="I102" s="15"/>
      <c r="J102" s="9"/>
      <c r="K102" s="9"/>
      <c r="L102" s="9"/>
      <c r="M102" s="14" t="str">
        <f>IF(A102="","",IF(H102&gt;0,H102,IFERROR(INDEX(Puestos!$C$2:$C$100,MATCH(F102,Puestos!$A$2:$A$100,0)),0)))</f>
        <v/>
      </c>
      <c r="N102" s="14" t="str">
        <f>IF(A102="","",IFERROR(INDEX(Puestos!$D$2:$D$100,MATCH(F102,Puestos!$A$2:$A$100,0)),0))</f>
        <v/>
      </c>
      <c r="O102" s="12" t="str">
        <f>IF(A102="","",IFERROR(INDEX(Puestos!$B$2:$B$100,MATCH(F102,Puestos!$A$2:$A$100,0)),""))</f>
        <v/>
      </c>
      <c r="P102" s="12" t="str">
        <f>IF(A102="","",IFERROR(INDEX(Plazas!$B$2:$B$100,MATCH(G102,Plazas!$A$2:$A$100,0)),""))</f>
        <v/>
      </c>
      <c r="Q102" t="s" s="0">
        <v>11</v>
      </c>
      <c r="R102" t="s" s="0">
        <v>11</v>
      </c>
      <c r="S102" t="s" s="0">
        <v>11</v>
      </c>
      <c r="T102" t="s" s="0">
        <v>11</v>
      </c>
      <c r="U102" t="s" s="0">
        <v>11</v>
      </c>
    </row>
    <row r="103" spans="1:21" x14ac:dyDescent="0.45">
      <c r="A103" s="9"/>
      <c r="B103" s="9"/>
      <c r="C103" s="9"/>
      <c r="D103" s="9"/>
      <c r="E103" s="12" t="str">
        <f t="shared" si="3"/>
        <v/>
      </c>
      <c r="F103" s="9"/>
      <c r="G103" s="9"/>
      <c r="H103" s="10"/>
      <c r="I103" s="15"/>
      <c r="J103" s="9"/>
      <c r="K103" s="9"/>
      <c r="L103" s="9"/>
      <c r="M103" s="14" t="str">
        <f>IF(A103="","",IF(H103&gt;0,H103,IFERROR(INDEX(Puestos!$C$2:$C$100,MATCH(F103,Puestos!$A$2:$A$100,0)),0)))</f>
        <v/>
      </c>
      <c r="N103" s="14" t="str">
        <f>IF(A103="","",IFERROR(INDEX(Puestos!$D$2:$D$100,MATCH(F103,Puestos!$A$2:$A$100,0)),0))</f>
        <v/>
      </c>
      <c r="O103" s="12" t="str">
        <f>IF(A103="","",IFERROR(INDEX(Puestos!$B$2:$B$100,MATCH(F103,Puestos!$A$2:$A$100,0)),""))</f>
        <v/>
      </c>
      <c r="P103" s="12" t="str">
        <f>IF(A103="","",IFERROR(INDEX(Plazas!$B$2:$B$100,MATCH(G103,Plazas!$A$2:$A$100,0)),""))</f>
        <v/>
      </c>
      <c r="Q103" t="s" s="0">
        <v>11</v>
      </c>
      <c r="R103" t="s" s="0">
        <v>11</v>
      </c>
      <c r="S103" t="s" s="0">
        <v>11</v>
      </c>
      <c r="T103" t="s" s="0">
        <v>11</v>
      </c>
      <c r="U103" t="s" s="0">
        <v>11</v>
      </c>
    </row>
    <row r="104" spans="1:21" x14ac:dyDescent="0.45">
      <c r="A104" s="9"/>
      <c r="B104" s="9"/>
      <c r="C104" s="9"/>
      <c r="D104" s="9"/>
      <c r="E104" s="12" t="str">
        <f t="shared" si="3"/>
        <v/>
      </c>
      <c r="F104" s="9"/>
      <c r="G104" s="9"/>
      <c r="H104" s="10"/>
      <c r="I104" s="15"/>
      <c r="J104" s="9"/>
      <c r="K104" s="9"/>
      <c r="L104" s="9"/>
      <c r="M104" s="14" t="str">
        <f>IF(A104="","",IF(H104&gt;0,H104,IFERROR(INDEX(Puestos!$C$2:$C$100,MATCH(F104,Puestos!$A$2:$A$100,0)),0)))</f>
        <v/>
      </c>
      <c r="N104" s="14" t="str">
        <f>IF(A104="","",IFERROR(INDEX(Puestos!$D$2:$D$100,MATCH(F104,Puestos!$A$2:$A$100,0)),0))</f>
        <v/>
      </c>
      <c r="O104" s="12" t="str">
        <f>IF(A104="","",IFERROR(INDEX(Puestos!$B$2:$B$100,MATCH(F104,Puestos!$A$2:$A$100,0)),""))</f>
        <v/>
      </c>
      <c r="P104" s="12" t="str">
        <f>IF(A104="","",IFERROR(INDEX(Plazas!$B$2:$B$100,MATCH(G104,Plazas!$A$2:$A$100,0)),""))</f>
        <v/>
      </c>
      <c r="Q104" t="s" s="0">
        <v>11</v>
      </c>
      <c r="R104" t="s" s="0">
        <v>11</v>
      </c>
      <c r="S104" t="s" s="0">
        <v>11</v>
      </c>
      <c r="T104" t="s" s="0">
        <v>11</v>
      </c>
      <c r="U104" t="s" s="0">
        <v>11</v>
      </c>
    </row>
    <row r="105" spans="1:21" x14ac:dyDescent="0.45">
      <c r="A105" s="9"/>
      <c r="B105" s="9"/>
      <c r="C105" s="9"/>
      <c r="D105" s="9"/>
      <c r="E105" s="12" t="str">
        <f t="shared" si="3"/>
        <v/>
      </c>
      <c r="F105" s="9"/>
      <c r="G105" s="9"/>
      <c r="H105" s="10"/>
      <c r="I105" s="15"/>
      <c r="J105" s="9"/>
      <c r="K105" s="9"/>
      <c r="L105" s="9"/>
      <c r="M105" s="14" t="str">
        <f>IF(A105="","",IF(H105&gt;0,H105,IFERROR(INDEX(Puestos!$C$2:$C$100,MATCH(F105,Puestos!$A$2:$A$100,0)),0)))</f>
        <v/>
      </c>
      <c r="N105" s="14" t="str">
        <f>IF(A105="","",IFERROR(INDEX(Puestos!$D$2:$D$100,MATCH(F105,Puestos!$A$2:$A$100,0)),0))</f>
        <v/>
      </c>
      <c r="O105" s="12" t="str">
        <f>IF(A105="","",IFERROR(INDEX(Puestos!$B$2:$B$100,MATCH(F105,Puestos!$A$2:$A$100,0)),""))</f>
        <v/>
      </c>
      <c r="P105" s="12" t="str">
        <f>IF(A105="","",IFERROR(INDEX(Plazas!$B$2:$B$100,MATCH(G105,Plazas!$A$2:$A$100,0)),""))</f>
        <v/>
      </c>
      <c r="Q105" t="s" s="0">
        <v>11</v>
      </c>
      <c r="R105" t="s" s="0">
        <v>11</v>
      </c>
      <c r="S105" t="s" s="0">
        <v>11</v>
      </c>
      <c r="T105" t="s" s="0">
        <v>11</v>
      </c>
      <c r="U105" t="s" s="0">
        <v>11</v>
      </c>
    </row>
    <row r="106" spans="1:21" x14ac:dyDescent="0.45">
      <c r="A106" s="9"/>
      <c r="B106" s="9"/>
      <c r="C106" s="9"/>
      <c r="D106" s="9"/>
      <c r="E106" s="12" t="str">
        <f t="shared" si="3"/>
        <v/>
      </c>
      <c r="F106" s="9"/>
      <c r="G106" s="9"/>
      <c r="H106" s="10"/>
      <c r="I106" s="15"/>
      <c r="J106" s="9"/>
      <c r="K106" s="9"/>
      <c r="L106" s="9"/>
      <c r="M106" s="14" t="str">
        <f>IF(A106="","",IF(H106&gt;0,H106,IFERROR(INDEX(Puestos!$C$2:$C$100,MATCH(F106,Puestos!$A$2:$A$100,0)),0)))</f>
        <v/>
      </c>
      <c r="N106" s="14" t="str">
        <f>IF(A106="","",IFERROR(INDEX(Puestos!$D$2:$D$100,MATCH(F106,Puestos!$A$2:$A$100,0)),0))</f>
        <v/>
      </c>
      <c r="O106" s="12" t="str">
        <f>IF(A106="","",IFERROR(INDEX(Puestos!$B$2:$B$100,MATCH(F106,Puestos!$A$2:$A$100,0)),""))</f>
        <v/>
      </c>
      <c r="P106" s="12" t="str">
        <f>IF(A106="","",IFERROR(INDEX(Plazas!$B$2:$B$100,MATCH(G106,Plazas!$A$2:$A$100,0)),""))</f>
        <v/>
      </c>
      <c r="Q106" t="s" s="0">
        <v>11</v>
      </c>
      <c r="R106" t="s" s="0">
        <v>11</v>
      </c>
      <c r="S106" t="s" s="0">
        <v>11</v>
      </c>
      <c r="T106" t="s" s="0">
        <v>11</v>
      </c>
      <c r="U106" t="s" s="0">
        <v>11</v>
      </c>
    </row>
    <row r="107" spans="1:21" x14ac:dyDescent="0.45">
      <c r="A107" s="9"/>
      <c r="B107" s="9"/>
      <c r="C107" s="9"/>
      <c r="D107" s="9"/>
      <c r="E107" s="12" t="str">
        <f t="shared" si="3"/>
        <v/>
      </c>
      <c r="F107" s="9"/>
      <c r="G107" s="9"/>
      <c r="H107" s="10"/>
      <c r="I107" s="15"/>
      <c r="J107" s="9"/>
      <c r="K107" s="9"/>
      <c r="L107" s="9"/>
      <c r="M107" s="14" t="str">
        <f>IF(A107="","",IF(H107&gt;0,H107,IFERROR(INDEX(Puestos!$C$2:$C$100,MATCH(F107,Puestos!$A$2:$A$100,0)),0)))</f>
        <v/>
      </c>
      <c r="N107" s="14" t="str">
        <f>IF(A107="","",IFERROR(INDEX(Puestos!$D$2:$D$100,MATCH(F107,Puestos!$A$2:$A$100,0)),0))</f>
        <v/>
      </c>
      <c r="O107" s="12" t="str">
        <f>IF(A107="","",IFERROR(INDEX(Puestos!$B$2:$B$100,MATCH(F107,Puestos!$A$2:$A$100,0)),""))</f>
        <v/>
      </c>
      <c r="P107" s="12" t="str">
        <f>IF(A107="","",IFERROR(INDEX(Plazas!$B$2:$B$100,MATCH(G107,Plazas!$A$2:$A$100,0)),""))</f>
        <v/>
      </c>
      <c r="Q107" t="s" s="0">
        <v>11</v>
      </c>
      <c r="R107" t="s" s="0">
        <v>11</v>
      </c>
      <c r="S107" t="s" s="0">
        <v>11</v>
      </c>
      <c r="T107" t="s" s="0">
        <v>11</v>
      </c>
      <c r="U107" t="s" s="0">
        <v>11</v>
      </c>
    </row>
    <row r="108" spans="1:21" x14ac:dyDescent="0.45">
      <c r="A108" s="9"/>
      <c r="B108" s="9"/>
      <c r="C108" s="9"/>
      <c r="D108" s="9"/>
      <c r="E108" s="12" t="str">
        <f t="shared" si="3"/>
        <v/>
      </c>
      <c r="F108" s="9"/>
      <c r="G108" s="9"/>
      <c r="H108" s="10"/>
      <c r="I108" s="15"/>
      <c r="J108" s="9"/>
      <c r="K108" s="9"/>
      <c r="L108" s="9"/>
      <c r="M108" s="14" t="str">
        <f>IF(A108="","",IF(H108&gt;0,H108,IFERROR(INDEX(Puestos!$C$2:$C$100,MATCH(F108,Puestos!$A$2:$A$100,0)),0)))</f>
        <v/>
      </c>
      <c r="N108" s="14" t="str">
        <f>IF(A108="","",IFERROR(INDEX(Puestos!$D$2:$D$100,MATCH(F108,Puestos!$A$2:$A$100,0)),0))</f>
        <v/>
      </c>
      <c r="O108" s="12" t="str">
        <f>IF(A108="","",IFERROR(INDEX(Puestos!$B$2:$B$100,MATCH(F108,Puestos!$A$2:$A$100,0)),""))</f>
        <v/>
      </c>
      <c r="P108" s="12" t="str">
        <f>IF(A108="","",IFERROR(INDEX(Plazas!$B$2:$B$100,MATCH(G108,Plazas!$A$2:$A$100,0)),""))</f>
        <v/>
      </c>
      <c r="Q108" t="s" s="0">
        <v>11</v>
      </c>
      <c r="R108" t="s" s="0">
        <v>11</v>
      </c>
      <c r="S108" t="s" s="0">
        <v>11</v>
      </c>
      <c r="T108" t="s" s="0">
        <v>11</v>
      </c>
      <c r="U108" t="s" s="0">
        <v>11</v>
      </c>
    </row>
    <row r="109" spans="1:21" x14ac:dyDescent="0.45">
      <c r="A109" s="9"/>
      <c r="B109" s="9"/>
      <c r="C109" s="9"/>
      <c r="D109" s="9"/>
      <c r="E109" s="12" t="str">
        <f t="shared" si="3"/>
        <v/>
      </c>
      <c r="F109" s="9"/>
      <c r="G109" s="9"/>
      <c r="H109" s="10"/>
      <c r="I109" s="15"/>
      <c r="J109" s="9"/>
      <c r="K109" s="9"/>
      <c r="L109" s="9"/>
      <c r="M109" s="14" t="str">
        <f>IF(A109="","",IF(H109&gt;0,H109,IFERROR(INDEX(Puestos!$C$2:$C$100,MATCH(F109,Puestos!$A$2:$A$100,0)),0)))</f>
        <v/>
      </c>
      <c r="N109" s="14" t="str">
        <f>IF(A109="","",IFERROR(INDEX(Puestos!$D$2:$D$100,MATCH(F109,Puestos!$A$2:$A$100,0)),0))</f>
        <v/>
      </c>
      <c r="O109" s="12" t="str">
        <f>IF(A109="","",IFERROR(INDEX(Puestos!$B$2:$B$100,MATCH(F109,Puestos!$A$2:$A$100,0)),""))</f>
        <v/>
      </c>
      <c r="P109" s="12" t="str">
        <f>IF(A109="","",IFERROR(INDEX(Plazas!$B$2:$B$100,MATCH(G109,Plazas!$A$2:$A$100,0)),""))</f>
        <v/>
      </c>
      <c r="Q109" t="s" s="0">
        <v>11</v>
      </c>
      <c r="R109" t="s" s="0">
        <v>11</v>
      </c>
      <c r="S109" t="s" s="0">
        <v>11</v>
      </c>
      <c r="T109" t="s" s="0">
        <v>11</v>
      </c>
      <c r="U109" t="s" s="0">
        <v>11</v>
      </c>
    </row>
    <row r="110" spans="1:21" x14ac:dyDescent="0.45">
      <c r="A110" s="9"/>
      <c r="B110" s="9"/>
      <c r="C110" s="9"/>
      <c r="D110" s="9"/>
      <c r="E110" s="12" t="str">
        <f t="shared" si="3"/>
        <v/>
      </c>
      <c r="F110" s="9"/>
      <c r="G110" s="9"/>
      <c r="H110" s="10"/>
      <c r="I110" s="15"/>
      <c r="J110" s="9"/>
      <c r="K110" s="9"/>
      <c r="L110" s="9"/>
      <c r="M110" s="14" t="str">
        <f>IF(A110="","",IF(H110&gt;0,H110,IFERROR(INDEX(Puestos!$C$2:$C$100,MATCH(F110,Puestos!$A$2:$A$100,0)),0)))</f>
        <v/>
      </c>
      <c r="N110" s="14" t="str">
        <f>IF(A110="","",IFERROR(INDEX(Puestos!$D$2:$D$100,MATCH(F110,Puestos!$A$2:$A$100,0)),0))</f>
        <v/>
      </c>
      <c r="O110" s="12" t="str">
        <f>IF(A110="","",IFERROR(INDEX(Puestos!$B$2:$B$100,MATCH(F110,Puestos!$A$2:$A$100,0)),""))</f>
        <v/>
      </c>
      <c r="P110" s="12" t="str">
        <f>IF(A110="","",IFERROR(INDEX(Plazas!$B$2:$B$100,MATCH(G110,Plazas!$A$2:$A$100,0)),""))</f>
        <v/>
      </c>
      <c r="Q110" t="s" s="0">
        <v>11</v>
      </c>
      <c r="R110" t="s" s="0">
        <v>11</v>
      </c>
      <c r="S110" t="s" s="0">
        <v>11</v>
      </c>
      <c r="T110" t="s" s="0">
        <v>11</v>
      </c>
      <c r="U110" t="s" s="0">
        <v>11</v>
      </c>
    </row>
    <row r="111" spans="1:21" x14ac:dyDescent="0.45">
      <c r="A111" s="9"/>
      <c r="B111" s="9"/>
      <c r="C111" s="9"/>
      <c r="D111" s="9"/>
      <c r="E111" s="12" t="str">
        <f t="shared" si="3"/>
        <v/>
      </c>
      <c r="F111" s="9"/>
      <c r="G111" s="9"/>
      <c r="H111" s="10"/>
      <c r="I111" s="15"/>
      <c r="J111" s="9"/>
      <c r="K111" s="9"/>
      <c r="L111" s="9"/>
      <c r="M111" s="14" t="str">
        <f>IF(A111="","",IF(H111&gt;0,H111,IFERROR(INDEX(Puestos!$C$2:$C$100,MATCH(F111,Puestos!$A$2:$A$100,0)),0)))</f>
        <v/>
      </c>
      <c r="N111" s="14" t="str">
        <f>IF(A111="","",IFERROR(INDEX(Puestos!$D$2:$D$100,MATCH(F111,Puestos!$A$2:$A$100,0)),0))</f>
        <v/>
      </c>
      <c r="O111" s="12" t="str">
        <f>IF(A111="","",IFERROR(INDEX(Puestos!$B$2:$B$100,MATCH(F111,Puestos!$A$2:$A$100,0)),""))</f>
        <v/>
      </c>
      <c r="P111" s="12" t="str">
        <f>IF(A111="","",IFERROR(INDEX(Plazas!$B$2:$B$100,MATCH(G111,Plazas!$A$2:$A$100,0)),""))</f>
        <v/>
      </c>
      <c r="Q111" t="s" s="0">
        <v>11</v>
      </c>
      <c r="R111" t="s" s="0">
        <v>11</v>
      </c>
      <c r="S111" t="s" s="0">
        <v>11</v>
      </c>
      <c r="T111" t="s" s="0">
        <v>11</v>
      </c>
      <c r="U111" t="s" s="0">
        <v>11</v>
      </c>
    </row>
    <row r="112" spans="1:21" x14ac:dyDescent="0.45">
      <c r="A112" s="9"/>
      <c r="B112" s="9"/>
      <c r="C112" s="9"/>
      <c r="D112" s="9"/>
      <c r="E112" s="12" t="str">
        <f t="shared" si="3"/>
        <v/>
      </c>
      <c r="F112" s="9"/>
      <c r="G112" s="9"/>
      <c r="H112" s="10"/>
      <c r="I112" s="15"/>
      <c r="J112" s="9"/>
      <c r="K112" s="9"/>
      <c r="L112" s="9"/>
      <c r="M112" s="14" t="str">
        <f>IF(A112="","",IF(H112&gt;0,H112,IFERROR(INDEX(Puestos!$C$2:$C$100,MATCH(F112,Puestos!$A$2:$A$100,0)),0)))</f>
        <v/>
      </c>
      <c r="N112" s="14" t="str">
        <f>IF(A112="","",IFERROR(INDEX(Puestos!$D$2:$D$100,MATCH(F112,Puestos!$A$2:$A$100,0)),0))</f>
        <v/>
      </c>
      <c r="O112" s="12" t="str">
        <f>IF(A112="","",IFERROR(INDEX(Puestos!$B$2:$B$100,MATCH(F112,Puestos!$A$2:$A$100,0)),""))</f>
        <v/>
      </c>
      <c r="P112" s="12" t="str">
        <f>IF(A112="","",IFERROR(INDEX(Plazas!$B$2:$B$100,MATCH(G112,Plazas!$A$2:$A$100,0)),""))</f>
        <v/>
      </c>
      <c r="Q112" t="s" s="0">
        <v>11</v>
      </c>
      <c r="R112" t="s" s="0">
        <v>11</v>
      </c>
      <c r="S112" t="s" s="0">
        <v>11</v>
      </c>
      <c r="T112" t="s" s="0">
        <v>11</v>
      </c>
      <c r="U112" t="s" s="0">
        <v>11</v>
      </c>
    </row>
    <row r="113" spans="1:21" x14ac:dyDescent="0.45">
      <c r="A113" s="9"/>
      <c r="B113" s="9"/>
      <c r="C113" s="9"/>
      <c r="D113" s="9"/>
      <c r="E113" s="12" t="str">
        <f t="shared" si="3"/>
        <v/>
      </c>
      <c r="F113" s="9"/>
      <c r="G113" s="9"/>
      <c r="H113" s="10"/>
      <c r="I113" s="15"/>
      <c r="J113" s="9"/>
      <c r="K113" s="9"/>
      <c r="L113" s="9"/>
      <c r="M113" s="14" t="str">
        <f>IF(A113="","",IF(H113&gt;0,H113,IFERROR(INDEX(Puestos!$C$2:$C$100,MATCH(F113,Puestos!$A$2:$A$100,0)),0)))</f>
        <v/>
      </c>
      <c r="N113" s="14" t="str">
        <f>IF(A113="","",IFERROR(INDEX(Puestos!$D$2:$D$100,MATCH(F113,Puestos!$A$2:$A$100,0)),0))</f>
        <v/>
      </c>
      <c r="O113" s="12" t="str">
        <f>IF(A113="","",IFERROR(INDEX(Puestos!$B$2:$B$100,MATCH(F113,Puestos!$A$2:$A$100,0)),""))</f>
        <v/>
      </c>
      <c r="P113" s="12" t="str">
        <f>IF(A113="","",IFERROR(INDEX(Plazas!$B$2:$B$100,MATCH(G113,Plazas!$A$2:$A$100,0)),""))</f>
        <v/>
      </c>
      <c r="Q113" t="s" s="0">
        <v>11</v>
      </c>
      <c r="R113" t="s" s="0">
        <v>11</v>
      </c>
      <c r="S113" t="s" s="0">
        <v>11</v>
      </c>
      <c r="T113" t="s" s="0">
        <v>11</v>
      </c>
      <c r="U113" t="s" s="0">
        <v>11</v>
      </c>
    </row>
    <row r="114" spans="1:21" x14ac:dyDescent="0.45">
      <c r="A114" s="9"/>
      <c r="B114" s="9"/>
      <c r="C114" s="9"/>
      <c r="D114" s="9"/>
      <c r="E114" s="12" t="str">
        <f t="shared" si="3"/>
        <v/>
      </c>
      <c r="F114" s="9"/>
      <c r="G114" s="9"/>
      <c r="H114" s="10"/>
      <c r="I114" s="15"/>
      <c r="J114" s="9"/>
      <c r="K114" s="9"/>
      <c r="L114" s="9"/>
      <c r="M114" s="14" t="str">
        <f>IF(A114="","",IF(H114&gt;0,H114,IFERROR(INDEX(Puestos!$C$2:$C$100,MATCH(F114,Puestos!$A$2:$A$100,0)),0)))</f>
        <v/>
      </c>
      <c r="N114" s="14" t="str">
        <f>IF(A114="","",IFERROR(INDEX(Puestos!$D$2:$D$100,MATCH(F114,Puestos!$A$2:$A$100,0)),0))</f>
        <v/>
      </c>
      <c r="O114" s="12" t="str">
        <f>IF(A114="","",IFERROR(INDEX(Puestos!$B$2:$B$100,MATCH(F114,Puestos!$A$2:$A$100,0)),""))</f>
        <v/>
      </c>
      <c r="P114" s="12" t="str">
        <f>IF(A114="","",IFERROR(INDEX(Plazas!$B$2:$B$100,MATCH(G114,Plazas!$A$2:$A$100,0)),""))</f>
        <v/>
      </c>
      <c r="Q114" t="s" s="0">
        <v>11</v>
      </c>
      <c r="R114" t="s" s="0">
        <v>11</v>
      </c>
      <c r="S114" t="s" s="0">
        <v>11</v>
      </c>
      <c r="T114" t="s" s="0">
        <v>11</v>
      </c>
      <c r="U114" t="s" s="0">
        <v>11</v>
      </c>
    </row>
    <row r="115" spans="1:21" x14ac:dyDescent="0.45">
      <c r="A115" s="9"/>
      <c r="B115" s="9"/>
      <c r="C115" s="9"/>
      <c r="D115" s="9"/>
      <c r="E115" s="12" t="str">
        <f t="shared" si="3"/>
        <v/>
      </c>
      <c r="F115" s="9"/>
      <c r="G115" s="9"/>
      <c r="H115" s="10"/>
      <c r="I115" s="15"/>
      <c r="J115" s="9"/>
      <c r="K115" s="9"/>
      <c r="L115" s="9"/>
      <c r="M115" s="14" t="str">
        <f>IF(A115="","",IF(H115&gt;0,H115,IFERROR(INDEX(Puestos!$C$2:$C$100,MATCH(F115,Puestos!$A$2:$A$100,0)),0)))</f>
        <v/>
      </c>
      <c r="N115" s="14" t="str">
        <f>IF(A115="","",IFERROR(INDEX(Puestos!$D$2:$D$100,MATCH(F115,Puestos!$A$2:$A$100,0)),0))</f>
        <v/>
      </c>
      <c r="O115" s="12" t="str">
        <f>IF(A115="","",IFERROR(INDEX(Puestos!$B$2:$B$100,MATCH(F115,Puestos!$A$2:$A$100,0)),""))</f>
        <v/>
      </c>
      <c r="P115" s="12" t="str">
        <f>IF(A115="","",IFERROR(INDEX(Plazas!$B$2:$B$100,MATCH(G115,Plazas!$A$2:$A$100,0)),""))</f>
        <v/>
      </c>
      <c r="Q115" t="s" s="0">
        <v>11</v>
      </c>
      <c r="R115" t="s" s="0">
        <v>11</v>
      </c>
      <c r="S115" t="s" s="0">
        <v>11</v>
      </c>
      <c r="T115" t="s" s="0">
        <v>11</v>
      </c>
      <c r="U115" t="s" s="0">
        <v>11</v>
      </c>
    </row>
    <row r="116" spans="1:21" x14ac:dyDescent="0.45">
      <c r="A116" s="9"/>
      <c r="B116" s="9"/>
      <c r="C116" s="9"/>
      <c r="D116" s="9"/>
      <c r="E116" s="12" t="str">
        <f t="shared" si="3"/>
        <v/>
      </c>
      <c r="F116" s="9"/>
      <c r="G116" s="9"/>
      <c r="H116" s="10"/>
      <c r="I116" s="15"/>
      <c r="J116" s="9"/>
      <c r="K116" s="9"/>
      <c r="L116" s="9"/>
      <c r="M116" s="14" t="str">
        <f>IF(A116="","",IF(H116&gt;0,H116,IFERROR(INDEX(Puestos!$C$2:$C$100,MATCH(F116,Puestos!$A$2:$A$100,0)),0)))</f>
        <v/>
      </c>
      <c r="N116" s="14" t="str">
        <f>IF(A116="","",IFERROR(INDEX(Puestos!$D$2:$D$100,MATCH(F116,Puestos!$A$2:$A$100,0)),0))</f>
        <v/>
      </c>
      <c r="O116" s="12" t="str">
        <f>IF(A116="","",IFERROR(INDEX(Puestos!$B$2:$B$100,MATCH(F116,Puestos!$A$2:$A$100,0)),""))</f>
        <v/>
      </c>
      <c r="P116" s="12" t="str">
        <f>IF(A116="","",IFERROR(INDEX(Plazas!$B$2:$B$100,MATCH(G116,Plazas!$A$2:$A$100,0)),""))</f>
        <v/>
      </c>
      <c r="Q116" t="s" s="0">
        <v>11</v>
      </c>
      <c r="R116" t="s" s="0">
        <v>11</v>
      </c>
      <c r="S116" t="s" s="0">
        <v>11</v>
      </c>
      <c r="T116" t="s" s="0">
        <v>11</v>
      </c>
      <c r="U116" t="s" s="0">
        <v>11</v>
      </c>
    </row>
    <row r="117" spans="1:21" x14ac:dyDescent="0.45">
      <c r="A117" s="9"/>
      <c r="B117" s="9"/>
      <c r="C117" s="9"/>
      <c r="D117" s="9"/>
      <c r="E117" s="12" t="str">
        <f t="shared" si="3"/>
        <v/>
      </c>
      <c r="F117" s="9"/>
      <c r="G117" s="9"/>
      <c r="H117" s="10"/>
      <c r="I117" s="15"/>
      <c r="J117" s="9"/>
      <c r="K117" s="9"/>
      <c r="L117" s="9"/>
      <c r="M117" s="14" t="str">
        <f>IF(A117="","",IF(H117&gt;0,H117,IFERROR(INDEX(Puestos!$C$2:$C$100,MATCH(F117,Puestos!$A$2:$A$100,0)),0)))</f>
        <v/>
      </c>
      <c r="N117" s="14" t="str">
        <f>IF(A117="","",IFERROR(INDEX(Puestos!$D$2:$D$100,MATCH(F117,Puestos!$A$2:$A$100,0)),0))</f>
        <v/>
      </c>
      <c r="O117" s="12" t="str">
        <f>IF(A117="","",IFERROR(INDEX(Puestos!$B$2:$B$100,MATCH(F117,Puestos!$A$2:$A$100,0)),""))</f>
        <v/>
      </c>
      <c r="P117" s="12" t="str">
        <f>IF(A117="","",IFERROR(INDEX(Plazas!$B$2:$B$100,MATCH(G117,Plazas!$A$2:$A$100,0)),""))</f>
        <v/>
      </c>
      <c r="Q117" t="s" s="0">
        <v>11</v>
      </c>
      <c r="R117" t="s" s="0">
        <v>11</v>
      </c>
      <c r="S117" t="s" s="0">
        <v>11</v>
      </c>
      <c r="T117" t="s" s="0">
        <v>11</v>
      </c>
      <c r="U117" t="s" s="0">
        <v>11</v>
      </c>
    </row>
    <row r="118" spans="1:21" x14ac:dyDescent="0.45">
      <c r="A118" s="9"/>
      <c r="B118" s="9"/>
      <c r="C118" s="9"/>
      <c r="D118" s="9"/>
      <c r="E118" s="12" t="str">
        <f t="shared" si="3"/>
        <v/>
      </c>
      <c r="F118" s="9"/>
      <c r="G118" s="9"/>
      <c r="H118" s="10"/>
      <c r="I118" s="15"/>
      <c r="J118" s="9"/>
      <c r="K118" s="9"/>
      <c r="L118" s="9"/>
      <c r="M118" s="14" t="str">
        <f>IF(A118="","",IF(H118&gt;0,H118,IFERROR(INDEX(Puestos!$C$2:$C$100,MATCH(F118,Puestos!$A$2:$A$100,0)),0)))</f>
        <v/>
      </c>
      <c r="N118" s="14" t="str">
        <f>IF(A118="","",IFERROR(INDEX(Puestos!$D$2:$D$100,MATCH(F118,Puestos!$A$2:$A$100,0)),0))</f>
        <v/>
      </c>
      <c r="O118" s="12" t="str">
        <f>IF(A118="","",IFERROR(INDEX(Puestos!$B$2:$B$100,MATCH(F118,Puestos!$A$2:$A$100,0)),""))</f>
        <v/>
      </c>
      <c r="P118" s="12" t="str">
        <f>IF(A118="","",IFERROR(INDEX(Plazas!$B$2:$B$100,MATCH(G118,Plazas!$A$2:$A$100,0)),""))</f>
        <v/>
      </c>
      <c r="Q118" t="s" s="0">
        <v>11</v>
      </c>
      <c r="R118" t="s" s="0">
        <v>11</v>
      </c>
      <c r="S118" t="s" s="0">
        <v>11</v>
      </c>
      <c r="T118" t="s" s="0">
        <v>11</v>
      </c>
      <c r="U118" t="s" s="0">
        <v>11</v>
      </c>
    </row>
    <row r="119" spans="1:21" x14ac:dyDescent="0.45">
      <c r="A119" s="9"/>
      <c r="B119" s="9"/>
      <c r="C119" s="9"/>
      <c r="D119" s="9"/>
      <c r="E119" s="12" t="str">
        <f t="shared" si="3"/>
        <v/>
      </c>
      <c r="F119" s="9"/>
      <c r="G119" s="9"/>
      <c r="H119" s="10"/>
      <c r="I119" s="15"/>
      <c r="J119" s="9"/>
      <c r="K119" s="9"/>
      <c r="L119" s="9"/>
      <c r="M119" s="14" t="str">
        <f>IF(A119="","",IF(H119&gt;0,H119,IFERROR(INDEX(Puestos!$C$2:$C$100,MATCH(F119,Puestos!$A$2:$A$100,0)),0)))</f>
        <v/>
      </c>
      <c r="N119" s="14" t="str">
        <f>IF(A119="","",IFERROR(INDEX(Puestos!$D$2:$D$100,MATCH(F119,Puestos!$A$2:$A$100,0)),0))</f>
        <v/>
      </c>
      <c r="O119" s="12" t="str">
        <f>IF(A119="","",IFERROR(INDEX(Puestos!$B$2:$B$100,MATCH(F119,Puestos!$A$2:$A$100,0)),""))</f>
        <v/>
      </c>
      <c r="P119" s="12" t="str">
        <f>IF(A119="","",IFERROR(INDEX(Plazas!$B$2:$B$100,MATCH(G119,Plazas!$A$2:$A$100,0)),""))</f>
        <v/>
      </c>
      <c r="Q119" t="s" s="0">
        <v>11</v>
      </c>
      <c r="R119" t="s" s="0">
        <v>11</v>
      </c>
      <c r="S119" t="s" s="0">
        <v>11</v>
      </c>
      <c r="T119" t="s" s="0">
        <v>11</v>
      </c>
      <c r="U119" t="s" s="0">
        <v>11</v>
      </c>
    </row>
    <row r="120" spans="1:21" x14ac:dyDescent="0.45">
      <c r="A120" s="9"/>
      <c r="B120" s="9"/>
      <c r="C120" s="9"/>
      <c r="D120" s="9"/>
      <c r="E120" s="12" t="str">
        <f t="shared" si="3"/>
        <v/>
      </c>
      <c r="F120" s="9"/>
      <c r="G120" s="9"/>
      <c r="H120" s="10"/>
      <c r="I120" s="15"/>
      <c r="J120" s="9"/>
      <c r="K120" s="9"/>
      <c r="L120" s="9"/>
      <c r="M120" s="14" t="str">
        <f>IF(A120="","",IF(H120&gt;0,H120,IFERROR(INDEX(Puestos!$C$2:$C$100,MATCH(F120,Puestos!$A$2:$A$100,0)),0)))</f>
        <v/>
      </c>
      <c r="N120" s="14" t="str">
        <f>IF(A120="","",IFERROR(INDEX(Puestos!$D$2:$D$100,MATCH(F120,Puestos!$A$2:$A$100,0)),0))</f>
        <v/>
      </c>
      <c r="O120" s="12" t="str">
        <f>IF(A120="","",IFERROR(INDEX(Puestos!$B$2:$B$100,MATCH(F120,Puestos!$A$2:$A$100,0)),""))</f>
        <v/>
      </c>
      <c r="P120" s="12" t="str">
        <f>IF(A120="","",IFERROR(INDEX(Plazas!$B$2:$B$100,MATCH(G120,Plazas!$A$2:$A$100,0)),""))</f>
        <v/>
      </c>
      <c r="Q120" t="s" s="0">
        <v>11</v>
      </c>
      <c r="R120" t="s" s="0">
        <v>11</v>
      </c>
      <c r="S120" t="s" s="0">
        <v>11</v>
      </c>
      <c r="T120" t="s" s="0">
        <v>11</v>
      </c>
      <c r="U120" t="s" s="0">
        <v>11</v>
      </c>
    </row>
    <row r="121" spans="1:21" x14ac:dyDescent="0.45">
      <c r="A121" s="9"/>
      <c r="B121" s="9"/>
      <c r="C121" s="9"/>
      <c r="D121" s="9"/>
      <c r="E121" s="12" t="str">
        <f t="shared" si="3"/>
        <v/>
      </c>
      <c r="F121" s="9"/>
      <c r="G121" s="9"/>
      <c r="H121" s="10"/>
      <c r="I121" s="15"/>
      <c r="J121" s="9"/>
      <c r="K121" s="9"/>
      <c r="L121" s="9"/>
      <c r="M121" s="14" t="str">
        <f>IF(A121="","",IF(H121&gt;0,H121,IFERROR(INDEX(Puestos!$C$2:$C$100,MATCH(F121,Puestos!$A$2:$A$100,0)),0)))</f>
        <v/>
      </c>
      <c r="N121" s="14" t="str">
        <f>IF(A121="","",IFERROR(INDEX(Puestos!$D$2:$D$100,MATCH(F121,Puestos!$A$2:$A$100,0)),0))</f>
        <v/>
      </c>
      <c r="O121" s="12" t="str">
        <f>IF(A121="","",IFERROR(INDEX(Puestos!$B$2:$B$100,MATCH(F121,Puestos!$A$2:$A$100,0)),""))</f>
        <v/>
      </c>
      <c r="P121" s="12" t="str">
        <f>IF(A121="","",IFERROR(INDEX(Plazas!$B$2:$B$100,MATCH(G121,Plazas!$A$2:$A$100,0)),""))</f>
        <v/>
      </c>
      <c r="Q121" t="s" s="0">
        <v>11</v>
      </c>
      <c r="R121" t="s" s="0">
        <v>11</v>
      </c>
      <c r="S121" t="s" s="0">
        <v>11</v>
      </c>
      <c r="T121" t="s" s="0">
        <v>11</v>
      </c>
      <c r="U121" t="s" s="0">
        <v>11</v>
      </c>
    </row>
    <row r="122" spans="1:21" x14ac:dyDescent="0.45">
      <c r="A122" s="9"/>
      <c r="B122" s="9"/>
      <c r="C122" s="9"/>
      <c r="D122" s="9"/>
      <c r="E122" s="12" t="str">
        <f t="shared" si="3"/>
        <v/>
      </c>
      <c r="F122" s="9"/>
      <c r="G122" s="9"/>
      <c r="H122" s="10"/>
      <c r="I122" s="15"/>
      <c r="J122" s="9"/>
      <c r="K122" s="9"/>
      <c r="L122" s="9"/>
      <c r="M122" s="14" t="str">
        <f>IF(A122="","",IF(H122&gt;0,H122,IFERROR(INDEX(Puestos!$C$2:$C$100,MATCH(F122,Puestos!$A$2:$A$100,0)),0)))</f>
        <v/>
      </c>
      <c r="N122" s="14" t="str">
        <f>IF(A122="","",IFERROR(INDEX(Puestos!$D$2:$D$100,MATCH(F122,Puestos!$A$2:$A$100,0)),0))</f>
        <v/>
      </c>
      <c r="O122" s="12" t="str">
        <f>IF(A122="","",IFERROR(INDEX(Puestos!$B$2:$B$100,MATCH(F122,Puestos!$A$2:$A$100,0)),""))</f>
        <v/>
      </c>
      <c r="P122" s="12" t="str">
        <f>IF(A122="","",IFERROR(INDEX(Plazas!$B$2:$B$100,MATCH(G122,Plazas!$A$2:$A$100,0)),""))</f>
        <v/>
      </c>
      <c r="Q122" t="s" s="0">
        <v>11</v>
      </c>
      <c r="R122" t="s" s="0">
        <v>11</v>
      </c>
      <c r="S122" t="s" s="0">
        <v>11</v>
      </c>
      <c r="T122" t="s" s="0">
        <v>11</v>
      </c>
      <c r="U122" t="s" s="0">
        <v>11</v>
      </c>
    </row>
    <row r="123" spans="1:21" x14ac:dyDescent="0.45">
      <c r="A123" s="9"/>
      <c r="B123" s="9"/>
      <c r="C123" s="9"/>
      <c r="D123" s="9"/>
      <c r="E123" s="12" t="str">
        <f t="shared" si="3"/>
        <v/>
      </c>
      <c r="F123" s="9"/>
      <c r="G123" s="9"/>
      <c r="H123" s="10"/>
      <c r="I123" s="15"/>
      <c r="J123" s="9"/>
      <c r="K123" s="9"/>
      <c r="L123" s="9"/>
      <c r="M123" s="14" t="str">
        <f>IF(A123="","",IF(H123&gt;0,H123,IFERROR(INDEX(Puestos!$C$2:$C$100,MATCH(F123,Puestos!$A$2:$A$100,0)),0)))</f>
        <v/>
      </c>
      <c r="N123" s="14" t="str">
        <f>IF(A123="","",IFERROR(INDEX(Puestos!$D$2:$D$100,MATCH(F123,Puestos!$A$2:$A$100,0)),0))</f>
        <v/>
      </c>
      <c r="O123" s="12" t="str">
        <f>IF(A123="","",IFERROR(INDEX(Puestos!$B$2:$B$100,MATCH(F123,Puestos!$A$2:$A$100,0)),""))</f>
        <v/>
      </c>
      <c r="P123" s="12" t="str">
        <f>IF(A123="","",IFERROR(INDEX(Plazas!$B$2:$B$100,MATCH(G123,Plazas!$A$2:$A$100,0)),""))</f>
        <v/>
      </c>
      <c r="Q123" t="s" s="0">
        <v>11</v>
      </c>
      <c r="R123" t="s" s="0">
        <v>11</v>
      </c>
      <c r="S123" t="s" s="0">
        <v>11</v>
      </c>
      <c r="T123" t="s" s="0">
        <v>11</v>
      </c>
      <c r="U123" t="s" s="0">
        <v>11</v>
      </c>
    </row>
    <row r="124" spans="1:21" x14ac:dyDescent="0.45">
      <c r="A124" s="9"/>
      <c r="B124" s="9"/>
      <c r="C124" s="9"/>
      <c r="D124" s="9"/>
      <c r="E124" s="12" t="str">
        <f t="shared" si="3"/>
        <v/>
      </c>
      <c r="F124" s="9"/>
      <c r="G124" s="9"/>
      <c r="H124" s="10"/>
      <c r="I124" s="15"/>
      <c r="J124" s="9"/>
      <c r="K124" s="9"/>
      <c r="L124" s="9"/>
      <c r="M124" s="14" t="str">
        <f>IF(A124="","",IF(H124&gt;0,H124,IFERROR(INDEX(Puestos!$C$2:$C$100,MATCH(F124,Puestos!$A$2:$A$100,0)),0)))</f>
        <v/>
      </c>
      <c r="N124" s="14" t="str">
        <f>IF(A124="","",IFERROR(INDEX(Puestos!$D$2:$D$100,MATCH(F124,Puestos!$A$2:$A$100,0)),0))</f>
        <v/>
      </c>
      <c r="O124" s="12" t="str">
        <f>IF(A124="","",IFERROR(INDEX(Puestos!$B$2:$B$100,MATCH(F124,Puestos!$A$2:$A$100,0)),""))</f>
        <v/>
      </c>
      <c r="P124" s="12" t="str">
        <f>IF(A124="","",IFERROR(INDEX(Plazas!$B$2:$B$100,MATCH(G124,Plazas!$A$2:$A$100,0)),""))</f>
        <v/>
      </c>
      <c r="Q124" t="s" s="0">
        <v>11</v>
      </c>
      <c r="R124" t="s" s="0">
        <v>11</v>
      </c>
      <c r="S124" t="s" s="0">
        <v>11</v>
      </c>
      <c r="T124" t="s" s="0">
        <v>11</v>
      </c>
      <c r="U124" t="s" s="0">
        <v>11</v>
      </c>
    </row>
    <row r="125" spans="1:21" x14ac:dyDescent="0.45">
      <c r="A125" s="9"/>
      <c r="B125" s="9"/>
      <c r="C125" s="9"/>
      <c r="D125" s="9"/>
      <c r="E125" s="12" t="str">
        <f t="shared" si="3"/>
        <v/>
      </c>
      <c r="F125" s="9"/>
      <c r="G125" s="9"/>
      <c r="H125" s="10"/>
      <c r="I125" s="15"/>
      <c r="J125" s="9"/>
      <c r="K125" s="9"/>
      <c r="L125" s="9"/>
      <c r="M125" s="14" t="str">
        <f>IF(A125="","",IF(H125&gt;0,H125,IFERROR(INDEX(Puestos!$C$2:$C$100,MATCH(F125,Puestos!$A$2:$A$100,0)),0)))</f>
        <v/>
      </c>
      <c r="N125" s="14" t="str">
        <f>IF(A125="","",IFERROR(INDEX(Puestos!$D$2:$D$100,MATCH(F125,Puestos!$A$2:$A$100,0)),0))</f>
        <v/>
      </c>
      <c r="O125" s="12" t="str">
        <f>IF(A125="","",IFERROR(INDEX(Puestos!$B$2:$B$100,MATCH(F125,Puestos!$A$2:$A$100,0)),""))</f>
        <v/>
      </c>
      <c r="P125" s="12" t="str">
        <f>IF(A125="","",IFERROR(INDEX(Plazas!$B$2:$B$100,MATCH(G125,Plazas!$A$2:$A$100,0)),""))</f>
        <v/>
      </c>
      <c r="Q125" t="s" s="0">
        <v>11</v>
      </c>
      <c r="R125" t="s" s="0">
        <v>11</v>
      </c>
      <c r="S125" t="s" s="0">
        <v>11</v>
      </c>
      <c r="T125" t="s" s="0">
        <v>11</v>
      </c>
      <c r="U125" t="s" s="0">
        <v>11</v>
      </c>
    </row>
    <row r="126" spans="1:21" x14ac:dyDescent="0.45">
      <c r="A126" s="9"/>
      <c r="B126" s="9"/>
      <c r="C126" s="9"/>
      <c r="D126" s="9"/>
      <c r="E126" s="12" t="str">
        <f t="shared" si="3"/>
        <v/>
      </c>
      <c r="F126" s="9"/>
      <c r="G126" s="9"/>
      <c r="H126" s="10"/>
      <c r="I126" s="15"/>
      <c r="J126" s="9"/>
      <c r="K126" s="9"/>
      <c r="L126" s="9"/>
      <c r="M126" s="14" t="str">
        <f>IF(A126="","",IF(H126&gt;0,H126,IFERROR(INDEX(Puestos!$C$2:$C$100,MATCH(F126,Puestos!$A$2:$A$100,0)),0)))</f>
        <v/>
      </c>
      <c r="N126" s="14" t="str">
        <f>IF(A126="","",IFERROR(INDEX(Puestos!$D$2:$D$100,MATCH(F126,Puestos!$A$2:$A$100,0)),0))</f>
        <v/>
      </c>
      <c r="O126" s="12" t="str">
        <f>IF(A126="","",IFERROR(INDEX(Puestos!$B$2:$B$100,MATCH(F126,Puestos!$A$2:$A$100,0)),""))</f>
        <v/>
      </c>
      <c r="P126" s="12" t="str">
        <f>IF(A126="","",IFERROR(INDEX(Plazas!$B$2:$B$100,MATCH(G126,Plazas!$A$2:$A$100,0)),""))</f>
        <v/>
      </c>
      <c r="Q126" t="s" s="0">
        <v>11</v>
      </c>
      <c r="R126" t="s" s="0">
        <v>11</v>
      </c>
      <c r="S126" t="s" s="0">
        <v>11</v>
      </c>
      <c r="T126" t="s" s="0">
        <v>11</v>
      </c>
      <c r="U126" t="s" s="0">
        <v>11</v>
      </c>
    </row>
    <row r="127" spans="1:21" x14ac:dyDescent="0.45">
      <c r="A127" s="9"/>
      <c r="B127" s="9"/>
      <c r="C127" s="9"/>
      <c r="D127" s="9"/>
      <c r="E127" s="12" t="str">
        <f t="shared" si="3"/>
        <v/>
      </c>
      <c r="F127" s="9"/>
      <c r="G127" s="9"/>
      <c r="H127" s="10"/>
      <c r="I127" s="15"/>
      <c r="J127" s="9"/>
      <c r="K127" s="9"/>
      <c r="L127" s="9"/>
      <c r="M127" s="14" t="str">
        <f>IF(A127="","",IF(H127&gt;0,H127,IFERROR(INDEX(Puestos!$C$2:$C$100,MATCH(F127,Puestos!$A$2:$A$100,0)),0)))</f>
        <v/>
      </c>
      <c r="N127" s="14" t="str">
        <f>IF(A127="","",IFERROR(INDEX(Puestos!$D$2:$D$100,MATCH(F127,Puestos!$A$2:$A$100,0)),0))</f>
        <v/>
      </c>
      <c r="O127" s="12" t="str">
        <f>IF(A127="","",IFERROR(INDEX(Puestos!$B$2:$B$100,MATCH(F127,Puestos!$A$2:$A$100,0)),""))</f>
        <v/>
      </c>
      <c r="P127" s="12" t="str">
        <f>IF(A127="","",IFERROR(INDEX(Plazas!$B$2:$B$100,MATCH(G127,Plazas!$A$2:$A$100,0)),""))</f>
        <v/>
      </c>
      <c r="Q127" t="s" s="0">
        <v>11</v>
      </c>
      <c r="R127" t="s" s="0">
        <v>11</v>
      </c>
      <c r="S127" t="s" s="0">
        <v>11</v>
      </c>
      <c r="T127" t="s" s="0">
        <v>11</v>
      </c>
      <c r="U127" t="s" s="0">
        <v>11</v>
      </c>
    </row>
    <row r="128" spans="1:21" x14ac:dyDescent="0.45">
      <c r="A128" s="9"/>
      <c r="B128" s="9"/>
      <c r="C128" s="9"/>
      <c r="D128" s="9"/>
      <c r="E128" s="12" t="str">
        <f t="shared" si="3"/>
        <v/>
      </c>
      <c r="F128" s="9"/>
      <c r="G128" s="9"/>
      <c r="H128" s="10"/>
      <c r="I128" s="15"/>
      <c r="J128" s="9"/>
      <c r="K128" s="9"/>
      <c r="L128" s="9"/>
      <c r="M128" s="14" t="str">
        <f>IF(A128="","",IF(H128&gt;0,H128,IFERROR(INDEX(Puestos!$C$2:$C$100,MATCH(F128,Puestos!$A$2:$A$100,0)),0)))</f>
        <v/>
      </c>
      <c r="N128" s="14" t="str">
        <f>IF(A128="","",IFERROR(INDEX(Puestos!$D$2:$D$100,MATCH(F128,Puestos!$A$2:$A$100,0)),0))</f>
        <v/>
      </c>
      <c r="O128" s="12" t="str">
        <f>IF(A128="","",IFERROR(INDEX(Puestos!$B$2:$B$100,MATCH(F128,Puestos!$A$2:$A$100,0)),""))</f>
        <v/>
      </c>
      <c r="P128" s="12" t="str">
        <f>IF(A128="","",IFERROR(INDEX(Plazas!$B$2:$B$100,MATCH(G128,Plazas!$A$2:$A$100,0)),""))</f>
        <v/>
      </c>
      <c r="Q128" t="s" s="0">
        <v>11</v>
      </c>
      <c r="R128" t="s" s="0">
        <v>11</v>
      </c>
      <c r="S128" t="s" s="0">
        <v>11</v>
      </c>
      <c r="T128" t="s" s="0">
        <v>11</v>
      </c>
      <c r="U128" t="s" s="0">
        <v>11</v>
      </c>
    </row>
    <row r="129" spans="1:21" x14ac:dyDescent="0.45">
      <c r="A129" s="9"/>
      <c r="B129" s="9"/>
      <c r="C129" s="9"/>
      <c r="D129" s="9"/>
      <c r="E129" s="12" t="str">
        <f t="shared" si="3"/>
        <v/>
      </c>
      <c r="F129" s="9"/>
      <c r="G129" s="9"/>
      <c r="H129" s="10"/>
      <c r="I129" s="15"/>
      <c r="J129" s="9"/>
      <c r="K129" s="9"/>
      <c r="L129" s="9"/>
      <c r="M129" s="14" t="str">
        <f>IF(A129="","",IF(H129&gt;0,H129,IFERROR(INDEX(Puestos!$C$2:$C$100,MATCH(F129,Puestos!$A$2:$A$100,0)),0)))</f>
        <v/>
      </c>
      <c r="N129" s="14" t="str">
        <f>IF(A129="","",IFERROR(INDEX(Puestos!$D$2:$D$100,MATCH(F129,Puestos!$A$2:$A$100,0)),0))</f>
        <v/>
      </c>
      <c r="O129" s="12" t="str">
        <f>IF(A129="","",IFERROR(INDEX(Puestos!$B$2:$B$100,MATCH(F129,Puestos!$A$2:$A$100,0)),""))</f>
        <v/>
      </c>
      <c r="P129" s="12" t="str">
        <f>IF(A129="","",IFERROR(INDEX(Plazas!$B$2:$B$100,MATCH(G129,Plazas!$A$2:$A$100,0)),""))</f>
        <v/>
      </c>
      <c r="Q129" t="s" s="0">
        <v>11</v>
      </c>
      <c r="R129" t="s" s="0">
        <v>11</v>
      </c>
      <c r="S129" t="s" s="0">
        <v>11</v>
      </c>
      <c r="T129" t="s" s="0">
        <v>11</v>
      </c>
      <c r="U129" t="s" s="0">
        <v>11</v>
      </c>
    </row>
    <row r="130" spans="1:21" x14ac:dyDescent="0.45">
      <c r="A130" s="9"/>
      <c r="B130" s="9"/>
      <c r="C130" s="9"/>
      <c r="D130" s="9"/>
      <c r="E130" s="12" t="str">
        <f t="shared" si="3"/>
        <v/>
      </c>
      <c r="F130" s="9"/>
      <c r="G130" s="9"/>
      <c r="H130" s="10"/>
      <c r="I130" s="15"/>
      <c r="J130" s="9"/>
      <c r="K130" s="9"/>
      <c r="L130" s="9"/>
      <c r="M130" s="14" t="str">
        <f>IF(A130="","",IF(H130&gt;0,H130,IFERROR(INDEX(Puestos!$C$2:$C$100,MATCH(F130,Puestos!$A$2:$A$100,0)),0)))</f>
        <v/>
      </c>
      <c r="N130" s="14" t="str">
        <f>IF(A130="","",IFERROR(INDEX(Puestos!$D$2:$D$100,MATCH(F130,Puestos!$A$2:$A$100,0)),0))</f>
        <v/>
      </c>
      <c r="O130" s="12" t="str">
        <f>IF(A130="","",IFERROR(INDEX(Puestos!$B$2:$B$100,MATCH(F130,Puestos!$A$2:$A$100,0)),""))</f>
        <v/>
      </c>
      <c r="P130" s="12" t="str">
        <f>IF(A130="","",IFERROR(INDEX(Plazas!$B$2:$B$100,MATCH(G130,Plazas!$A$2:$A$100,0)),""))</f>
        <v/>
      </c>
      <c r="Q130" t="s" s="0">
        <v>11</v>
      </c>
      <c r="R130" t="s" s="0">
        <v>11</v>
      </c>
      <c r="S130" t="s" s="0">
        <v>11</v>
      </c>
      <c r="T130" t="s" s="0">
        <v>11</v>
      </c>
      <c r="U130" t="s" s="0">
        <v>11</v>
      </c>
    </row>
    <row r="131" spans="1:21" x14ac:dyDescent="0.45">
      <c r="A131" s="9"/>
      <c r="B131" s="9"/>
      <c r="C131" s="9"/>
      <c r="D131" s="9"/>
      <c r="E131" s="12" t="str">
        <f t="shared" si="3"/>
        <v/>
      </c>
      <c r="F131" s="9"/>
      <c r="G131" s="9"/>
      <c r="H131" s="10"/>
      <c r="I131" s="15"/>
      <c r="J131" s="9"/>
      <c r="K131" s="9"/>
      <c r="L131" s="9"/>
      <c r="M131" s="14" t="str">
        <f>IF(A131="","",IF(H131&gt;0,H131,IFERROR(INDEX(Puestos!$C$2:$C$100,MATCH(F131,Puestos!$A$2:$A$100,0)),0)))</f>
        <v/>
      </c>
      <c r="N131" s="14" t="str">
        <f>IF(A131="","",IFERROR(INDEX(Puestos!$D$2:$D$100,MATCH(F131,Puestos!$A$2:$A$100,0)),0))</f>
        <v/>
      </c>
      <c r="O131" s="12" t="str">
        <f>IF(A131="","",IFERROR(INDEX(Puestos!$B$2:$B$100,MATCH(F131,Puestos!$A$2:$A$100,0)),""))</f>
        <v/>
      </c>
      <c r="P131" s="12" t="str">
        <f>IF(A131="","",IFERROR(INDEX(Plazas!$B$2:$B$100,MATCH(G131,Plazas!$A$2:$A$100,0)),""))</f>
        <v/>
      </c>
      <c r="Q131" t="s" s="0">
        <v>11</v>
      </c>
      <c r="R131" t="s" s="0">
        <v>11</v>
      </c>
      <c r="S131" t="s" s="0">
        <v>11</v>
      </c>
      <c r="T131" t="s" s="0">
        <v>11</v>
      </c>
      <c r="U131" t="s" s="0">
        <v>11</v>
      </c>
    </row>
    <row r="132" spans="1:21" x14ac:dyDescent="0.45">
      <c r="A132" s="9"/>
      <c r="B132" s="9"/>
      <c r="C132" s="9"/>
      <c r="D132" s="9"/>
      <c r="E132" s="12" t="str">
        <f t="shared" si="3"/>
        <v/>
      </c>
      <c r="F132" s="9"/>
      <c r="G132" s="9"/>
      <c r="H132" s="10"/>
      <c r="I132" s="15"/>
      <c r="J132" s="9"/>
      <c r="K132" s="9"/>
      <c r="L132" s="9"/>
      <c r="M132" s="14" t="str">
        <f>IF(A132="","",IF(H132&gt;0,H132,IFERROR(INDEX(Puestos!$C$2:$C$100,MATCH(F132,Puestos!$A$2:$A$100,0)),0)))</f>
        <v/>
      </c>
      <c r="N132" s="14" t="str">
        <f>IF(A132="","",IFERROR(INDEX(Puestos!$D$2:$D$100,MATCH(F132,Puestos!$A$2:$A$100,0)),0))</f>
        <v/>
      </c>
      <c r="O132" s="12" t="str">
        <f>IF(A132="","",IFERROR(INDEX(Puestos!$B$2:$B$100,MATCH(F132,Puestos!$A$2:$A$100,0)),""))</f>
        <v/>
      </c>
      <c r="P132" s="12" t="str">
        <f>IF(A132="","",IFERROR(INDEX(Plazas!$B$2:$B$100,MATCH(G132,Plazas!$A$2:$A$100,0)),""))</f>
        <v/>
      </c>
      <c r="Q132" t="s" s="0">
        <v>11</v>
      </c>
      <c r="R132" t="s" s="0">
        <v>11</v>
      </c>
      <c r="S132" t="s" s="0">
        <v>11</v>
      </c>
      <c r="T132" t="s" s="0">
        <v>11</v>
      </c>
      <c r="U132" t="s" s="0">
        <v>11</v>
      </c>
    </row>
    <row r="133" spans="1:21" x14ac:dyDescent="0.45">
      <c r="A133" s="9"/>
      <c r="B133" s="9"/>
      <c r="C133" s="9"/>
      <c r="D133" s="9"/>
      <c r="E133" s="12" t="str">
        <f t="shared" si="3"/>
        <v/>
      </c>
      <c r="F133" s="9"/>
      <c r="G133" s="9"/>
      <c r="H133" s="10"/>
      <c r="I133" s="15"/>
      <c r="J133" s="9"/>
      <c r="K133" s="9"/>
      <c r="L133" s="9"/>
      <c r="M133" s="14" t="str">
        <f>IF(A133="","",IF(H133&gt;0,H133,IFERROR(INDEX(Puestos!$C$2:$C$100,MATCH(F133,Puestos!$A$2:$A$100,0)),0)))</f>
        <v/>
      </c>
      <c r="N133" s="14" t="str">
        <f>IF(A133="","",IFERROR(INDEX(Puestos!$D$2:$D$100,MATCH(F133,Puestos!$A$2:$A$100,0)),0))</f>
        <v/>
      </c>
      <c r="O133" s="12" t="str">
        <f>IF(A133="","",IFERROR(INDEX(Puestos!$B$2:$B$100,MATCH(F133,Puestos!$A$2:$A$100,0)),""))</f>
        <v/>
      </c>
      <c r="P133" s="12" t="str">
        <f>IF(A133="","",IFERROR(INDEX(Plazas!$B$2:$B$100,MATCH(G133,Plazas!$A$2:$A$100,0)),""))</f>
        <v/>
      </c>
      <c r="Q133" t="s" s="0">
        <v>11</v>
      </c>
      <c r="R133" t="s" s="0">
        <v>11</v>
      </c>
      <c r="S133" t="s" s="0">
        <v>11</v>
      </c>
      <c r="T133" t="s" s="0">
        <v>11</v>
      </c>
      <c r="U133" t="s" s="0">
        <v>11</v>
      </c>
    </row>
    <row r="134" spans="1:21" x14ac:dyDescent="0.45">
      <c r="A134" s="9"/>
      <c r="B134" s="9"/>
      <c r="C134" s="9"/>
      <c r="D134" s="9"/>
      <c r="E134" s="12" t="str">
        <f t="shared" ref="E134:E165" si="4">IF(A134="","",TRIM(B134&amp;" "&amp;C134&amp;" "&amp;D134))</f>
        <v/>
      </c>
      <c r="F134" s="9"/>
      <c r="G134" s="9"/>
      <c r="H134" s="10"/>
      <c r="I134" s="15"/>
      <c r="J134" s="9"/>
      <c r="K134" s="9"/>
      <c r="L134" s="9"/>
      <c r="M134" s="14" t="str">
        <f>IF(A134="","",IF(H134&gt;0,H134,IFERROR(INDEX(Puestos!$C$2:$C$100,MATCH(F134,Puestos!$A$2:$A$100,0)),0)))</f>
        <v/>
      </c>
      <c r="N134" s="14" t="str">
        <f>IF(A134="","",IFERROR(INDEX(Puestos!$D$2:$D$100,MATCH(F134,Puestos!$A$2:$A$100,0)),0))</f>
        <v/>
      </c>
      <c r="O134" s="12" t="str">
        <f>IF(A134="","",IFERROR(INDEX(Puestos!$B$2:$B$100,MATCH(F134,Puestos!$A$2:$A$100,0)),""))</f>
        <v/>
      </c>
      <c r="P134" s="12" t="str">
        <f>IF(A134="","",IFERROR(INDEX(Plazas!$B$2:$B$100,MATCH(G134,Plazas!$A$2:$A$100,0)),""))</f>
        <v/>
      </c>
      <c r="Q134" t="s" s="0">
        <v>11</v>
      </c>
      <c r="R134" t="s" s="0">
        <v>11</v>
      </c>
      <c r="S134" t="s" s="0">
        <v>11</v>
      </c>
      <c r="T134" t="s" s="0">
        <v>11</v>
      </c>
      <c r="U134" t="s" s="0">
        <v>11</v>
      </c>
    </row>
    <row r="135" spans="1:21" x14ac:dyDescent="0.45">
      <c r="A135" s="9"/>
      <c r="B135" s="9"/>
      <c r="C135" s="9"/>
      <c r="D135" s="9"/>
      <c r="E135" s="12" t="str">
        <f t="shared" si="4"/>
        <v/>
      </c>
      <c r="F135" s="9"/>
      <c r="G135" s="9"/>
      <c r="H135" s="10"/>
      <c r="I135" s="15"/>
      <c r="J135" s="9"/>
      <c r="K135" s="9"/>
      <c r="L135" s="9"/>
      <c r="M135" s="14" t="str">
        <f>IF(A135="","",IF(H135&gt;0,H135,IFERROR(INDEX(Puestos!$C$2:$C$100,MATCH(F135,Puestos!$A$2:$A$100,0)),0)))</f>
        <v/>
      </c>
      <c r="N135" s="14" t="str">
        <f>IF(A135="","",IFERROR(INDEX(Puestos!$D$2:$D$100,MATCH(F135,Puestos!$A$2:$A$100,0)),0))</f>
        <v/>
      </c>
      <c r="O135" s="12" t="str">
        <f>IF(A135="","",IFERROR(INDEX(Puestos!$B$2:$B$100,MATCH(F135,Puestos!$A$2:$A$100,0)),""))</f>
        <v/>
      </c>
      <c r="P135" s="12" t="str">
        <f>IF(A135="","",IFERROR(INDEX(Plazas!$B$2:$B$100,MATCH(G135,Plazas!$A$2:$A$100,0)),""))</f>
        <v/>
      </c>
      <c r="Q135" t="s" s="0">
        <v>11</v>
      </c>
      <c r="R135" t="s" s="0">
        <v>11</v>
      </c>
      <c r="S135" t="s" s="0">
        <v>11</v>
      </c>
      <c r="T135" t="s" s="0">
        <v>11</v>
      </c>
      <c r="U135" t="s" s="0">
        <v>11</v>
      </c>
    </row>
    <row r="136" spans="1:21" x14ac:dyDescent="0.45">
      <c r="A136" s="9"/>
      <c r="B136" s="9"/>
      <c r="C136" s="9"/>
      <c r="D136" s="9"/>
      <c r="E136" s="12" t="str">
        <f t="shared" si="4"/>
        <v/>
      </c>
      <c r="F136" s="9"/>
      <c r="G136" s="9"/>
      <c r="H136" s="10"/>
      <c r="I136" s="15"/>
      <c r="J136" s="9"/>
      <c r="K136" s="9"/>
      <c r="L136" s="9"/>
      <c r="M136" s="14" t="str">
        <f>IF(A136="","",IF(H136&gt;0,H136,IFERROR(INDEX(Puestos!$C$2:$C$100,MATCH(F136,Puestos!$A$2:$A$100,0)),0)))</f>
        <v/>
      </c>
      <c r="N136" s="14" t="str">
        <f>IF(A136="","",IFERROR(INDEX(Puestos!$D$2:$D$100,MATCH(F136,Puestos!$A$2:$A$100,0)),0))</f>
        <v/>
      </c>
      <c r="O136" s="12" t="str">
        <f>IF(A136="","",IFERROR(INDEX(Puestos!$B$2:$B$100,MATCH(F136,Puestos!$A$2:$A$100,0)),""))</f>
        <v/>
      </c>
      <c r="P136" s="12" t="str">
        <f>IF(A136="","",IFERROR(INDEX(Plazas!$B$2:$B$100,MATCH(G136,Plazas!$A$2:$A$100,0)),""))</f>
        <v/>
      </c>
      <c r="Q136" t="s" s="0">
        <v>11</v>
      </c>
      <c r="R136" t="s" s="0">
        <v>11</v>
      </c>
      <c r="S136" t="s" s="0">
        <v>11</v>
      </c>
      <c r="T136" t="s" s="0">
        <v>11</v>
      </c>
      <c r="U136" t="s" s="0">
        <v>11</v>
      </c>
    </row>
    <row r="137" spans="1:21" x14ac:dyDescent="0.45">
      <c r="A137" s="9"/>
      <c r="B137" s="9"/>
      <c r="C137" s="9"/>
      <c r="D137" s="9"/>
      <c r="E137" s="12" t="str">
        <f t="shared" si="4"/>
        <v/>
      </c>
      <c r="F137" s="9"/>
      <c r="G137" s="9"/>
      <c r="H137" s="10"/>
      <c r="I137" s="15"/>
      <c r="J137" s="9"/>
      <c r="K137" s="9"/>
      <c r="L137" s="9"/>
      <c r="M137" s="14" t="str">
        <f>IF(A137="","",IF(H137&gt;0,H137,IFERROR(INDEX(Puestos!$C$2:$C$100,MATCH(F137,Puestos!$A$2:$A$100,0)),0)))</f>
        <v/>
      </c>
      <c r="N137" s="14" t="str">
        <f>IF(A137="","",IFERROR(INDEX(Puestos!$D$2:$D$100,MATCH(F137,Puestos!$A$2:$A$100,0)),0))</f>
        <v/>
      </c>
      <c r="O137" s="12" t="str">
        <f>IF(A137="","",IFERROR(INDEX(Puestos!$B$2:$B$100,MATCH(F137,Puestos!$A$2:$A$100,0)),""))</f>
        <v/>
      </c>
      <c r="P137" s="12" t="str">
        <f>IF(A137="","",IFERROR(INDEX(Plazas!$B$2:$B$100,MATCH(G137,Plazas!$A$2:$A$100,0)),""))</f>
        <v/>
      </c>
      <c r="Q137" t="s" s="0">
        <v>11</v>
      </c>
      <c r="R137" t="s" s="0">
        <v>11</v>
      </c>
      <c r="S137" t="s" s="0">
        <v>11</v>
      </c>
      <c r="T137" t="s" s="0">
        <v>11</v>
      </c>
      <c r="U137" t="s" s="0">
        <v>11</v>
      </c>
    </row>
    <row r="138" spans="1:21" x14ac:dyDescent="0.45">
      <c r="A138" s="9"/>
      <c r="B138" s="9"/>
      <c r="C138" s="9"/>
      <c r="D138" s="9"/>
      <c r="E138" s="12" t="str">
        <f t="shared" si="4"/>
        <v/>
      </c>
      <c r="F138" s="9"/>
      <c r="G138" s="9"/>
      <c r="H138" s="10"/>
      <c r="I138" s="15"/>
      <c r="J138" s="9"/>
      <c r="K138" s="9"/>
      <c r="L138" s="9"/>
      <c r="M138" s="14" t="str">
        <f>IF(A138="","",IF(H138&gt;0,H138,IFERROR(INDEX(Puestos!$C$2:$C$100,MATCH(F138,Puestos!$A$2:$A$100,0)),0)))</f>
        <v/>
      </c>
      <c r="N138" s="14" t="str">
        <f>IF(A138="","",IFERROR(INDEX(Puestos!$D$2:$D$100,MATCH(F138,Puestos!$A$2:$A$100,0)),0))</f>
        <v/>
      </c>
      <c r="O138" s="12" t="str">
        <f>IF(A138="","",IFERROR(INDEX(Puestos!$B$2:$B$100,MATCH(F138,Puestos!$A$2:$A$100,0)),""))</f>
        <v/>
      </c>
      <c r="P138" s="12" t="str">
        <f>IF(A138="","",IFERROR(INDEX(Plazas!$B$2:$B$100,MATCH(G138,Plazas!$A$2:$A$100,0)),""))</f>
        <v/>
      </c>
      <c r="Q138" t="s" s="0">
        <v>11</v>
      </c>
      <c r="R138" t="s" s="0">
        <v>11</v>
      </c>
      <c r="S138" t="s" s="0">
        <v>11</v>
      </c>
      <c r="T138" t="s" s="0">
        <v>11</v>
      </c>
      <c r="U138" t="s" s="0">
        <v>11</v>
      </c>
    </row>
    <row r="139" spans="1:21" x14ac:dyDescent="0.45">
      <c r="A139" s="9"/>
      <c r="B139" s="9"/>
      <c r="C139" s="9"/>
      <c r="D139" s="9"/>
      <c r="E139" s="12" t="str">
        <f t="shared" si="4"/>
        <v/>
      </c>
      <c r="F139" s="9"/>
      <c r="G139" s="9"/>
      <c r="H139" s="10"/>
      <c r="I139" s="15"/>
      <c r="J139" s="9"/>
      <c r="K139" s="9"/>
      <c r="L139" s="9"/>
      <c r="M139" s="14" t="str">
        <f>IF(A139="","",IF(H139&gt;0,H139,IFERROR(INDEX(Puestos!$C$2:$C$100,MATCH(F139,Puestos!$A$2:$A$100,0)),0)))</f>
        <v/>
      </c>
      <c r="N139" s="14" t="str">
        <f>IF(A139="","",IFERROR(INDEX(Puestos!$D$2:$D$100,MATCH(F139,Puestos!$A$2:$A$100,0)),0))</f>
        <v/>
      </c>
      <c r="O139" s="12" t="str">
        <f>IF(A139="","",IFERROR(INDEX(Puestos!$B$2:$B$100,MATCH(F139,Puestos!$A$2:$A$100,0)),""))</f>
        <v/>
      </c>
      <c r="P139" s="12" t="str">
        <f>IF(A139="","",IFERROR(INDEX(Plazas!$B$2:$B$100,MATCH(G139,Plazas!$A$2:$A$100,0)),""))</f>
        <v/>
      </c>
      <c r="Q139" t="s" s="0">
        <v>11</v>
      </c>
      <c r="R139" t="s" s="0">
        <v>11</v>
      </c>
      <c r="S139" t="s" s="0">
        <v>11</v>
      </c>
      <c r="T139" t="s" s="0">
        <v>11</v>
      </c>
      <c r="U139" t="s" s="0">
        <v>11</v>
      </c>
    </row>
    <row r="140" spans="1:21" x14ac:dyDescent="0.45">
      <c r="A140" s="9"/>
      <c r="B140" s="9"/>
      <c r="C140" s="9"/>
      <c r="D140" s="9"/>
      <c r="E140" s="12" t="str">
        <f t="shared" si="4"/>
        <v/>
      </c>
      <c r="F140" s="9"/>
      <c r="G140" s="9"/>
      <c r="H140" s="10"/>
      <c r="I140" s="15"/>
      <c r="J140" s="9"/>
      <c r="K140" s="9"/>
      <c r="L140" s="9"/>
      <c r="M140" s="14" t="str">
        <f>IF(A140="","",IF(H140&gt;0,H140,IFERROR(INDEX(Puestos!$C$2:$C$100,MATCH(F140,Puestos!$A$2:$A$100,0)),0)))</f>
        <v/>
      </c>
      <c r="N140" s="14" t="str">
        <f>IF(A140="","",IFERROR(INDEX(Puestos!$D$2:$D$100,MATCH(F140,Puestos!$A$2:$A$100,0)),0))</f>
        <v/>
      </c>
      <c r="O140" s="12" t="str">
        <f>IF(A140="","",IFERROR(INDEX(Puestos!$B$2:$B$100,MATCH(F140,Puestos!$A$2:$A$100,0)),""))</f>
        <v/>
      </c>
      <c r="P140" s="12" t="str">
        <f>IF(A140="","",IFERROR(INDEX(Plazas!$B$2:$B$100,MATCH(G140,Plazas!$A$2:$A$100,0)),""))</f>
        <v/>
      </c>
      <c r="Q140" t="s" s="0">
        <v>11</v>
      </c>
      <c r="R140" t="s" s="0">
        <v>11</v>
      </c>
      <c r="S140" t="s" s="0">
        <v>11</v>
      </c>
      <c r="T140" t="s" s="0">
        <v>11</v>
      </c>
      <c r="U140" t="s" s="0">
        <v>11</v>
      </c>
    </row>
    <row r="141" spans="1:21" x14ac:dyDescent="0.45">
      <c r="A141" s="9"/>
      <c r="B141" s="9"/>
      <c r="C141" s="9"/>
      <c r="D141" s="9"/>
      <c r="E141" s="12" t="str">
        <f t="shared" si="4"/>
        <v/>
      </c>
      <c r="F141" s="9"/>
      <c r="G141" s="9"/>
      <c r="H141" s="10"/>
      <c r="I141" s="15"/>
      <c r="J141" s="9"/>
      <c r="K141" s="9"/>
      <c r="L141" s="9"/>
      <c r="M141" s="14" t="str">
        <f>IF(A141="","",IF(H141&gt;0,H141,IFERROR(INDEX(Puestos!$C$2:$C$100,MATCH(F141,Puestos!$A$2:$A$100,0)),0)))</f>
        <v/>
      </c>
      <c r="N141" s="14" t="str">
        <f>IF(A141="","",IFERROR(INDEX(Puestos!$D$2:$D$100,MATCH(F141,Puestos!$A$2:$A$100,0)),0))</f>
        <v/>
      </c>
      <c r="O141" s="12" t="str">
        <f>IF(A141="","",IFERROR(INDEX(Puestos!$B$2:$B$100,MATCH(F141,Puestos!$A$2:$A$100,0)),""))</f>
        <v/>
      </c>
      <c r="P141" s="12" t="str">
        <f>IF(A141="","",IFERROR(INDEX(Plazas!$B$2:$B$100,MATCH(G141,Plazas!$A$2:$A$100,0)),""))</f>
        <v/>
      </c>
      <c r="Q141" t="s" s="0">
        <v>11</v>
      </c>
      <c r="R141" t="s" s="0">
        <v>11</v>
      </c>
      <c r="S141" t="s" s="0">
        <v>11</v>
      </c>
      <c r="T141" t="s" s="0">
        <v>11</v>
      </c>
      <c r="U141" t="s" s="0">
        <v>11</v>
      </c>
    </row>
    <row r="142" spans="1:21" x14ac:dyDescent="0.45">
      <c r="A142" s="9"/>
      <c r="B142" s="9"/>
      <c r="C142" s="9"/>
      <c r="D142" s="9"/>
      <c r="E142" s="12" t="str">
        <f t="shared" si="4"/>
        <v/>
      </c>
      <c r="F142" s="9"/>
      <c r="G142" s="9"/>
      <c r="H142" s="10"/>
      <c r="I142" s="15"/>
      <c r="J142" s="9"/>
      <c r="K142" s="9"/>
      <c r="L142" s="9"/>
      <c r="M142" s="14" t="str">
        <f>IF(A142="","",IF(H142&gt;0,H142,IFERROR(INDEX(Puestos!$C$2:$C$100,MATCH(F142,Puestos!$A$2:$A$100,0)),0)))</f>
        <v/>
      </c>
      <c r="N142" s="14" t="str">
        <f>IF(A142="","",IFERROR(INDEX(Puestos!$D$2:$D$100,MATCH(F142,Puestos!$A$2:$A$100,0)),0))</f>
        <v/>
      </c>
      <c r="O142" s="12" t="str">
        <f>IF(A142="","",IFERROR(INDEX(Puestos!$B$2:$B$100,MATCH(F142,Puestos!$A$2:$A$100,0)),""))</f>
        <v/>
      </c>
      <c r="P142" s="12" t="str">
        <f>IF(A142="","",IFERROR(INDEX(Plazas!$B$2:$B$100,MATCH(G142,Plazas!$A$2:$A$100,0)),""))</f>
        <v/>
      </c>
      <c r="Q142" t="s" s="0">
        <v>11</v>
      </c>
      <c r="R142" t="s" s="0">
        <v>11</v>
      </c>
      <c r="S142" t="s" s="0">
        <v>11</v>
      </c>
      <c r="T142" t="s" s="0">
        <v>11</v>
      </c>
      <c r="U142" t="s" s="0">
        <v>11</v>
      </c>
    </row>
    <row r="143" spans="1:21" x14ac:dyDescent="0.45">
      <c r="A143" s="9"/>
      <c r="B143" s="9"/>
      <c r="C143" s="9"/>
      <c r="D143" s="9"/>
      <c r="E143" s="12" t="str">
        <f t="shared" si="4"/>
        <v/>
      </c>
      <c r="F143" s="9"/>
      <c r="G143" s="9"/>
      <c r="H143" s="10"/>
      <c r="I143" s="15"/>
      <c r="J143" s="9"/>
      <c r="K143" s="9"/>
      <c r="L143" s="9"/>
      <c r="M143" s="14" t="str">
        <f>IF(A143="","",IF(H143&gt;0,H143,IFERROR(INDEX(Puestos!$C$2:$C$100,MATCH(F143,Puestos!$A$2:$A$100,0)),0)))</f>
        <v/>
      </c>
      <c r="N143" s="14" t="str">
        <f>IF(A143="","",IFERROR(INDEX(Puestos!$D$2:$D$100,MATCH(F143,Puestos!$A$2:$A$100,0)),0))</f>
        <v/>
      </c>
      <c r="O143" s="12" t="str">
        <f>IF(A143="","",IFERROR(INDEX(Puestos!$B$2:$B$100,MATCH(F143,Puestos!$A$2:$A$100,0)),""))</f>
        <v/>
      </c>
      <c r="P143" s="12" t="str">
        <f>IF(A143="","",IFERROR(INDEX(Plazas!$B$2:$B$100,MATCH(G143,Plazas!$A$2:$A$100,0)),""))</f>
        <v/>
      </c>
      <c r="Q143" t="s" s="0">
        <v>11</v>
      </c>
      <c r="R143" t="s" s="0">
        <v>11</v>
      </c>
      <c r="S143" t="s" s="0">
        <v>11</v>
      </c>
      <c r="T143" t="s" s="0">
        <v>11</v>
      </c>
      <c r="U143" t="s" s="0">
        <v>11</v>
      </c>
    </row>
    <row r="144" spans="1:21" x14ac:dyDescent="0.45">
      <c r="A144" s="9"/>
      <c r="B144" s="9"/>
      <c r="C144" s="9"/>
      <c r="D144" s="9"/>
      <c r="E144" s="12" t="str">
        <f t="shared" si="4"/>
        <v/>
      </c>
      <c r="F144" s="9"/>
      <c r="G144" s="9"/>
      <c r="H144" s="10"/>
      <c r="I144" s="15"/>
      <c r="J144" s="9"/>
      <c r="K144" s="9"/>
      <c r="L144" s="9"/>
      <c r="M144" s="14" t="str">
        <f>IF(A144="","",IF(H144&gt;0,H144,IFERROR(INDEX(Puestos!$C$2:$C$100,MATCH(F144,Puestos!$A$2:$A$100,0)),0)))</f>
        <v/>
      </c>
      <c r="N144" s="14" t="str">
        <f>IF(A144="","",IFERROR(INDEX(Puestos!$D$2:$D$100,MATCH(F144,Puestos!$A$2:$A$100,0)),0))</f>
        <v/>
      </c>
      <c r="O144" s="12" t="str">
        <f>IF(A144="","",IFERROR(INDEX(Puestos!$B$2:$B$100,MATCH(F144,Puestos!$A$2:$A$100,0)),""))</f>
        <v/>
      </c>
      <c r="P144" s="12" t="str">
        <f>IF(A144="","",IFERROR(INDEX(Plazas!$B$2:$B$100,MATCH(G144,Plazas!$A$2:$A$100,0)),""))</f>
        <v/>
      </c>
      <c r="Q144" t="s" s="0">
        <v>11</v>
      </c>
      <c r="R144" t="s" s="0">
        <v>11</v>
      </c>
      <c r="S144" t="s" s="0">
        <v>11</v>
      </c>
      <c r="T144" t="s" s="0">
        <v>11</v>
      </c>
      <c r="U144" t="s" s="0">
        <v>11</v>
      </c>
    </row>
    <row r="145" spans="1:21" x14ac:dyDescent="0.45">
      <c r="A145" s="9"/>
      <c r="B145" s="9"/>
      <c r="C145" s="9"/>
      <c r="D145" s="9"/>
      <c r="E145" s="12" t="str">
        <f t="shared" si="4"/>
        <v/>
      </c>
      <c r="F145" s="9"/>
      <c r="G145" s="9"/>
      <c r="H145" s="10"/>
      <c r="I145" s="15"/>
      <c r="J145" s="9"/>
      <c r="K145" s="9"/>
      <c r="L145" s="9"/>
      <c r="M145" s="14" t="str">
        <f>IF(A145="","",IF(H145&gt;0,H145,IFERROR(INDEX(Puestos!$C$2:$C$100,MATCH(F145,Puestos!$A$2:$A$100,0)),0)))</f>
        <v/>
      </c>
      <c r="N145" s="14" t="str">
        <f>IF(A145="","",IFERROR(INDEX(Puestos!$D$2:$D$100,MATCH(F145,Puestos!$A$2:$A$100,0)),0))</f>
        <v/>
      </c>
      <c r="O145" s="12" t="str">
        <f>IF(A145="","",IFERROR(INDEX(Puestos!$B$2:$B$100,MATCH(F145,Puestos!$A$2:$A$100,0)),""))</f>
        <v/>
      </c>
      <c r="P145" s="12" t="str">
        <f>IF(A145="","",IFERROR(INDEX(Plazas!$B$2:$B$100,MATCH(G145,Plazas!$A$2:$A$100,0)),""))</f>
        <v/>
      </c>
      <c r="Q145" t="s" s="0">
        <v>11</v>
      </c>
      <c r="R145" t="s" s="0">
        <v>11</v>
      </c>
      <c r="S145" t="s" s="0">
        <v>11</v>
      </c>
      <c r="T145" t="s" s="0">
        <v>11</v>
      </c>
      <c r="U145" t="s" s="0">
        <v>11</v>
      </c>
    </row>
    <row r="146" spans="1:21" x14ac:dyDescent="0.45">
      <c r="A146" s="9"/>
      <c r="B146" s="9"/>
      <c r="C146" s="9"/>
      <c r="D146" s="9"/>
      <c r="E146" s="12" t="str">
        <f t="shared" si="4"/>
        <v/>
      </c>
      <c r="F146" s="9"/>
      <c r="G146" s="9"/>
      <c r="H146" s="10"/>
      <c r="I146" s="15"/>
      <c r="J146" s="9"/>
      <c r="K146" s="9"/>
      <c r="L146" s="9"/>
      <c r="M146" s="14" t="str">
        <f>IF(A146="","",IF(H146&gt;0,H146,IFERROR(INDEX(Puestos!$C$2:$C$100,MATCH(F146,Puestos!$A$2:$A$100,0)),0)))</f>
        <v/>
      </c>
      <c r="N146" s="14" t="str">
        <f>IF(A146="","",IFERROR(INDEX(Puestos!$D$2:$D$100,MATCH(F146,Puestos!$A$2:$A$100,0)),0))</f>
        <v/>
      </c>
      <c r="O146" s="12" t="str">
        <f>IF(A146="","",IFERROR(INDEX(Puestos!$B$2:$B$100,MATCH(F146,Puestos!$A$2:$A$100,0)),""))</f>
        <v/>
      </c>
      <c r="P146" s="12" t="str">
        <f>IF(A146="","",IFERROR(INDEX(Plazas!$B$2:$B$100,MATCH(G146,Plazas!$A$2:$A$100,0)),""))</f>
        <v/>
      </c>
      <c r="Q146" t="s" s="0">
        <v>11</v>
      </c>
      <c r="R146" t="s" s="0">
        <v>11</v>
      </c>
      <c r="S146" t="s" s="0">
        <v>11</v>
      </c>
      <c r="T146" t="s" s="0">
        <v>11</v>
      </c>
      <c r="U146" t="s" s="0">
        <v>11</v>
      </c>
    </row>
    <row r="147" spans="1:21" x14ac:dyDescent="0.45">
      <c r="A147" s="9"/>
      <c r="B147" s="9"/>
      <c r="C147" s="9"/>
      <c r="D147" s="9"/>
      <c r="E147" s="12" t="str">
        <f t="shared" si="4"/>
        <v/>
      </c>
      <c r="F147" s="9"/>
      <c r="G147" s="9"/>
      <c r="H147" s="10"/>
      <c r="I147" s="15"/>
      <c r="J147" s="9"/>
      <c r="K147" s="9"/>
      <c r="L147" s="9"/>
      <c r="M147" s="14" t="str">
        <f>IF(A147="","",IF(H147&gt;0,H147,IFERROR(INDEX(Puestos!$C$2:$C$100,MATCH(F147,Puestos!$A$2:$A$100,0)),0)))</f>
        <v/>
      </c>
      <c r="N147" s="14" t="str">
        <f>IF(A147="","",IFERROR(INDEX(Puestos!$D$2:$D$100,MATCH(F147,Puestos!$A$2:$A$100,0)),0))</f>
        <v/>
      </c>
      <c r="O147" s="12" t="str">
        <f>IF(A147="","",IFERROR(INDEX(Puestos!$B$2:$B$100,MATCH(F147,Puestos!$A$2:$A$100,0)),""))</f>
        <v/>
      </c>
      <c r="P147" s="12" t="str">
        <f>IF(A147="","",IFERROR(INDEX(Plazas!$B$2:$B$100,MATCH(G147,Plazas!$A$2:$A$100,0)),""))</f>
        <v/>
      </c>
      <c r="Q147" t="s" s="0">
        <v>11</v>
      </c>
      <c r="R147" t="s" s="0">
        <v>11</v>
      </c>
      <c r="S147" t="s" s="0">
        <v>11</v>
      </c>
      <c r="T147" t="s" s="0">
        <v>11</v>
      </c>
      <c r="U147" t="s" s="0">
        <v>11</v>
      </c>
    </row>
    <row r="148" spans="1:21" x14ac:dyDescent="0.45">
      <c r="A148" s="9"/>
      <c r="B148" s="9"/>
      <c r="C148" s="9"/>
      <c r="D148" s="9"/>
      <c r="E148" s="12" t="str">
        <f t="shared" si="4"/>
        <v/>
      </c>
      <c r="F148" s="9"/>
      <c r="G148" s="9"/>
      <c r="H148" s="10"/>
      <c r="I148" s="15"/>
      <c r="J148" s="9"/>
      <c r="K148" s="9"/>
      <c r="L148" s="9"/>
      <c r="M148" s="14" t="str">
        <f>IF(A148="","",IF(H148&gt;0,H148,IFERROR(INDEX(Puestos!$C$2:$C$100,MATCH(F148,Puestos!$A$2:$A$100,0)),0)))</f>
        <v/>
      </c>
      <c r="N148" s="14" t="str">
        <f>IF(A148="","",IFERROR(INDEX(Puestos!$D$2:$D$100,MATCH(F148,Puestos!$A$2:$A$100,0)),0))</f>
        <v/>
      </c>
      <c r="O148" s="12" t="str">
        <f>IF(A148="","",IFERROR(INDEX(Puestos!$B$2:$B$100,MATCH(F148,Puestos!$A$2:$A$100,0)),""))</f>
        <v/>
      </c>
      <c r="P148" s="12" t="str">
        <f>IF(A148="","",IFERROR(INDEX(Plazas!$B$2:$B$100,MATCH(G148,Plazas!$A$2:$A$100,0)),""))</f>
        <v/>
      </c>
      <c r="Q148" t="s" s="0">
        <v>11</v>
      </c>
      <c r="R148" t="s" s="0">
        <v>11</v>
      </c>
      <c r="S148" t="s" s="0">
        <v>11</v>
      </c>
      <c r="T148" t="s" s="0">
        <v>11</v>
      </c>
      <c r="U148" t="s" s="0">
        <v>11</v>
      </c>
    </row>
    <row r="149" spans="1:21" x14ac:dyDescent="0.45">
      <c r="A149" s="9"/>
      <c r="B149" s="9"/>
      <c r="C149" s="9"/>
      <c r="D149" s="9"/>
      <c r="E149" s="12" t="str">
        <f t="shared" si="4"/>
        <v/>
      </c>
      <c r="F149" s="9"/>
      <c r="G149" s="9"/>
      <c r="H149" s="10"/>
      <c r="I149" s="15"/>
      <c r="J149" s="9"/>
      <c r="K149" s="9"/>
      <c r="L149" s="9"/>
      <c r="M149" s="14" t="str">
        <f>IF(A149="","",IF(H149&gt;0,H149,IFERROR(INDEX(Puestos!$C$2:$C$100,MATCH(F149,Puestos!$A$2:$A$100,0)),0)))</f>
        <v/>
      </c>
      <c r="N149" s="14" t="str">
        <f>IF(A149="","",IFERROR(INDEX(Puestos!$D$2:$D$100,MATCH(F149,Puestos!$A$2:$A$100,0)),0))</f>
        <v/>
      </c>
      <c r="O149" s="12" t="str">
        <f>IF(A149="","",IFERROR(INDEX(Puestos!$B$2:$B$100,MATCH(F149,Puestos!$A$2:$A$100,0)),""))</f>
        <v/>
      </c>
      <c r="P149" s="12" t="str">
        <f>IF(A149="","",IFERROR(INDEX(Plazas!$B$2:$B$100,MATCH(G149,Plazas!$A$2:$A$100,0)),""))</f>
        <v/>
      </c>
      <c r="Q149" t="s" s="0">
        <v>11</v>
      </c>
      <c r="R149" t="s" s="0">
        <v>11</v>
      </c>
      <c r="S149" t="s" s="0">
        <v>11</v>
      </c>
      <c r="T149" t="s" s="0">
        <v>11</v>
      </c>
      <c r="U149" t="s" s="0">
        <v>11</v>
      </c>
    </row>
    <row r="150" spans="1:21" x14ac:dyDescent="0.45">
      <c r="A150" s="9"/>
      <c r="B150" s="9"/>
      <c r="C150" s="9"/>
      <c r="D150" s="9"/>
      <c r="E150" s="12" t="str">
        <f t="shared" si="4"/>
        <v/>
      </c>
      <c r="F150" s="9"/>
      <c r="G150" s="9"/>
      <c r="H150" s="10"/>
      <c r="I150" s="15"/>
      <c r="J150" s="9"/>
      <c r="K150" s="9"/>
      <c r="L150" s="9"/>
      <c r="M150" s="14" t="str">
        <f>IF(A150="","",IF(H150&gt;0,H150,IFERROR(INDEX(Puestos!$C$2:$C$100,MATCH(F150,Puestos!$A$2:$A$100,0)),0)))</f>
        <v/>
      </c>
      <c r="N150" s="14" t="str">
        <f>IF(A150="","",IFERROR(INDEX(Puestos!$D$2:$D$100,MATCH(F150,Puestos!$A$2:$A$100,0)),0))</f>
        <v/>
      </c>
      <c r="O150" s="12" t="str">
        <f>IF(A150="","",IFERROR(INDEX(Puestos!$B$2:$B$100,MATCH(F150,Puestos!$A$2:$A$100,0)),""))</f>
        <v/>
      </c>
      <c r="P150" s="12" t="str">
        <f>IF(A150="","",IFERROR(INDEX(Plazas!$B$2:$B$100,MATCH(G150,Plazas!$A$2:$A$100,0)),""))</f>
        <v/>
      </c>
      <c r="Q150" t="s" s="0">
        <v>11</v>
      </c>
      <c r="R150" t="s" s="0">
        <v>11</v>
      </c>
      <c r="S150" t="s" s="0">
        <v>11</v>
      </c>
      <c r="T150" t="s" s="0">
        <v>11</v>
      </c>
      <c r="U150" t="s" s="0">
        <v>11</v>
      </c>
    </row>
    <row r="151" spans="1:21" x14ac:dyDescent="0.45">
      <c r="A151" s="9"/>
      <c r="B151" s="9"/>
      <c r="C151" s="9"/>
      <c r="D151" s="9"/>
      <c r="E151" s="12" t="str">
        <f t="shared" si="4"/>
        <v/>
      </c>
      <c r="F151" s="9"/>
      <c r="G151" s="9"/>
      <c r="H151" s="10"/>
      <c r="I151" s="15"/>
      <c r="J151" s="9"/>
      <c r="K151" s="9"/>
      <c r="L151" s="9"/>
      <c r="M151" s="14" t="str">
        <f>IF(A151="","",IF(H151&gt;0,H151,IFERROR(INDEX(Puestos!$C$2:$C$100,MATCH(F151,Puestos!$A$2:$A$100,0)),0)))</f>
        <v/>
      </c>
      <c r="N151" s="14" t="str">
        <f>IF(A151="","",IFERROR(INDEX(Puestos!$D$2:$D$100,MATCH(F151,Puestos!$A$2:$A$100,0)),0))</f>
        <v/>
      </c>
      <c r="O151" s="12" t="str">
        <f>IF(A151="","",IFERROR(INDEX(Puestos!$B$2:$B$100,MATCH(F151,Puestos!$A$2:$A$100,0)),""))</f>
        <v/>
      </c>
      <c r="P151" s="12" t="str">
        <f>IF(A151="","",IFERROR(INDEX(Plazas!$B$2:$B$100,MATCH(G151,Plazas!$A$2:$A$100,0)),""))</f>
        <v/>
      </c>
      <c r="Q151" t="s" s="0">
        <v>11</v>
      </c>
      <c r="R151" t="s" s="0">
        <v>11</v>
      </c>
      <c r="S151" t="s" s="0">
        <v>11</v>
      </c>
      <c r="T151" t="s" s="0">
        <v>11</v>
      </c>
      <c r="U151" t="s" s="0">
        <v>11</v>
      </c>
    </row>
    <row r="152" spans="1:21" x14ac:dyDescent="0.45">
      <c r="A152" s="9"/>
      <c r="B152" s="9"/>
      <c r="C152" s="9"/>
      <c r="D152" s="9"/>
      <c r="E152" s="12" t="str">
        <f t="shared" si="4"/>
        <v/>
      </c>
      <c r="F152" s="9"/>
      <c r="G152" s="9"/>
      <c r="H152" s="10"/>
      <c r="I152" s="15"/>
      <c r="J152" s="9"/>
      <c r="K152" s="9"/>
      <c r="L152" s="9"/>
      <c r="M152" s="14" t="str">
        <f>IF(A152="","",IF(H152&gt;0,H152,IFERROR(INDEX(Puestos!$C$2:$C$100,MATCH(F152,Puestos!$A$2:$A$100,0)),0)))</f>
        <v/>
      </c>
      <c r="N152" s="14" t="str">
        <f>IF(A152="","",IFERROR(INDEX(Puestos!$D$2:$D$100,MATCH(F152,Puestos!$A$2:$A$100,0)),0))</f>
        <v/>
      </c>
      <c r="O152" s="12" t="str">
        <f>IF(A152="","",IFERROR(INDEX(Puestos!$B$2:$B$100,MATCH(F152,Puestos!$A$2:$A$100,0)),""))</f>
        <v/>
      </c>
      <c r="P152" s="12" t="str">
        <f>IF(A152="","",IFERROR(INDEX(Plazas!$B$2:$B$100,MATCH(G152,Plazas!$A$2:$A$100,0)),""))</f>
        <v/>
      </c>
      <c r="Q152" t="s" s="0">
        <v>11</v>
      </c>
      <c r="R152" t="s" s="0">
        <v>11</v>
      </c>
      <c r="S152" t="s" s="0">
        <v>11</v>
      </c>
      <c r="T152" t="s" s="0">
        <v>11</v>
      </c>
      <c r="U152" t="s" s="0">
        <v>11</v>
      </c>
    </row>
    <row r="153" spans="1:21" x14ac:dyDescent="0.45">
      <c r="A153" s="9"/>
      <c r="B153" s="9"/>
      <c r="C153" s="9"/>
      <c r="D153" s="9"/>
      <c r="E153" s="12" t="str">
        <f t="shared" si="4"/>
        <v/>
      </c>
      <c r="F153" s="9"/>
      <c r="G153" s="9"/>
      <c r="H153" s="10"/>
      <c r="I153" s="15"/>
      <c r="J153" s="9"/>
      <c r="K153" s="9"/>
      <c r="L153" s="9"/>
      <c r="M153" s="14" t="str">
        <f>IF(A153="","",IF(H153&gt;0,H153,IFERROR(INDEX(Puestos!$C$2:$C$100,MATCH(F153,Puestos!$A$2:$A$100,0)),0)))</f>
        <v/>
      </c>
      <c r="N153" s="14" t="str">
        <f>IF(A153="","",IFERROR(INDEX(Puestos!$D$2:$D$100,MATCH(F153,Puestos!$A$2:$A$100,0)),0))</f>
        <v/>
      </c>
      <c r="O153" s="12" t="str">
        <f>IF(A153="","",IFERROR(INDEX(Puestos!$B$2:$B$100,MATCH(F153,Puestos!$A$2:$A$100,0)),""))</f>
        <v/>
      </c>
      <c r="P153" s="12" t="str">
        <f>IF(A153="","",IFERROR(INDEX(Plazas!$B$2:$B$100,MATCH(G153,Plazas!$A$2:$A$100,0)),""))</f>
        <v/>
      </c>
      <c r="Q153" t="s" s="0">
        <v>11</v>
      </c>
      <c r="R153" t="s" s="0">
        <v>11</v>
      </c>
      <c r="S153" t="s" s="0">
        <v>11</v>
      </c>
      <c r="T153" t="s" s="0">
        <v>11</v>
      </c>
      <c r="U153" t="s" s="0">
        <v>11</v>
      </c>
    </row>
    <row r="154" spans="1:21" x14ac:dyDescent="0.45">
      <c r="A154" s="9"/>
      <c r="B154" s="9"/>
      <c r="C154" s="9"/>
      <c r="D154" s="9"/>
      <c r="E154" s="12" t="str">
        <f t="shared" si="4"/>
        <v/>
      </c>
      <c r="F154" s="9"/>
      <c r="G154" s="9"/>
      <c r="H154" s="10"/>
      <c r="I154" s="15"/>
      <c r="J154" s="9"/>
      <c r="K154" s="9"/>
      <c r="L154" s="9"/>
      <c r="M154" s="14" t="str">
        <f>IF(A154="","",IF(H154&gt;0,H154,IFERROR(INDEX(Puestos!$C$2:$C$100,MATCH(F154,Puestos!$A$2:$A$100,0)),0)))</f>
        <v/>
      </c>
      <c r="N154" s="14" t="str">
        <f>IF(A154="","",IFERROR(INDEX(Puestos!$D$2:$D$100,MATCH(F154,Puestos!$A$2:$A$100,0)),0))</f>
        <v/>
      </c>
      <c r="O154" s="12" t="str">
        <f>IF(A154="","",IFERROR(INDEX(Puestos!$B$2:$B$100,MATCH(F154,Puestos!$A$2:$A$100,0)),""))</f>
        <v/>
      </c>
      <c r="P154" s="12" t="str">
        <f>IF(A154="","",IFERROR(INDEX(Plazas!$B$2:$B$100,MATCH(G154,Plazas!$A$2:$A$100,0)),""))</f>
        <v/>
      </c>
      <c r="Q154" t="s" s="0">
        <v>11</v>
      </c>
      <c r="R154" t="s" s="0">
        <v>11</v>
      </c>
      <c r="S154" t="s" s="0">
        <v>11</v>
      </c>
      <c r="T154" t="s" s="0">
        <v>11</v>
      </c>
      <c r="U154" t="s" s="0">
        <v>11</v>
      </c>
    </row>
    <row r="155" spans="1:21" x14ac:dyDescent="0.45">
      <c r="A155" s="9"/>
      <c r="B155" s="9"/>
      <c r="C155" s="9"/>
      <c r="D155" s="9"/>
      <c r="E155" s="12" t="str">
        <f t="shared" si="4"/>
        <v/>
      </c>
      <c r="F155" s="9"/>
      <c r="G155" s="9"/>
      <c r="H155" s="10"/>
      <c r="I155" s="15"/>
      <c r="J155" s="9"/>
      <c r="K155" s="9"/>
      <c r="L155" s="9"/>
      <c r="M155" s="14" t="str">
        <f>IF(A155="","",IF(H155&gt;0,H155,IFERROR(INDEX(Puestos!$C$2:$C$100,MATCH(F155,Puestos!$A$2:$A$100,0)),0)))</f>
        <v/>
      </c>
      <c r="N155" s="14" t="str">
        <f>IF(A155="","",IFERROR(INDEX(Puestos!$D$2:$D$100,MATCH(F155,Puestos!$A$2:$A$100,0)),0))</f>
        <v/>
      </c>
      <c r="O155" s="12" t="str">
        <f>IF(A155="","",IFERROR(INDEX(Puestos!$B$2:$B$100,MATCH(F155,Puestos!$A$2:$A$100,0)),""))</f>
        <v/>
      </c>
      <c r="P155" s="12" t="str">
        <f>IF(A155="","",IFERROR(INDEX(Plazas!$B$2:$B$100,MATCH(G155,Plazas!$A$2:$A$100,0)),""))</f>
        <v/>
      </c>
      <c r="Q155" t="s" s="0">
        <v>11</v>
      </c>
      <c r="R155" t="s" s="0">
        <v>11</v>
      </c>
      <c r="S155" t="s" s="0">
        <v>11</v>
      </c>
      <c r="T155" t="s" s="0">
        <v>11</v>
      </c>
      <c r="U155" t="s" s="0">
        <v>11</v>
      </c>
    </row>
    <row r="156" spans="1:21" x14ac:dyDescent="0.45">
      <c r="A156" s="9"/>
      <c r="B156" s="9"/>
      <c r="C156" s="9"/>
      <c r="D156" s="9"/>
      <c r="E156" s="12" t="str">
        <f t="shared" si="4"/>
        <v/>
      </c>
      <c r="F156" s="9"/>
      <c r="G156" s="9"/>
      <c r="H156" s="10"/>
      <c r="I156" s="15"/>
      <c r="J156" s="9"/>
      <c r="K156" s="9"/>
      <c r="L156" s="9"/>
      <c r="M156" s="14" t="str">
        <f>IF(A156="","",IF(H156&gt;0,H156,IFERROR(INDEX(Puestos!$C$2:$C$100,MATCH(F156,Puestos!$A$2:$A$100,0)),0)))</f>
        <v/>
      </c>
      <c r="N156" s="14" t="str">
        <f>IF(A156="","",IFERROR(INDEX(Puestos!$D$2:$D$100,MATCH(F156,Puestos!$A$2:$A$100,0)),0))</f>
        <v/>
      </c>
      <c r="O156" s="12" t="str">
        <f>IF(A156="","",IFERROR(INDEX(Puestos!$B$2:$B$100,MATCH(F156,Puestos!$A$2:$A$100,0)),""))</f>
        <v/>
      </c>
      <c r="P156" s="12" t="str">
        <f>IF(A156="","",IFERROR(INDEX(Plazas!$B$2:$B$100,MATCH(G156,Plazas!$A$2:$A$100,0)),""))</f>
        <v/>
      </c>
      <c r="Q156" t="s" s="0">
        <v>11</v>
      </c>
      <c r="R156" t="s" s="0">
        <v>11</v>
      </c>
      <c r="S156" t="s" s="0">
        <v>11</v>
      </c>
      <c r="T156" t="s" s="0">
        <v>11</v>
      </c>
      <c r="U156" t="s" s="0">
        <v>11</v>
      </c>
    </row>
    <row r="157" spans="1:21" x14ac:dyDescent="0.45">
      <c r="A157" s="9"/>
      <c r="B157" s="9"/>
      <c r="C157" s="9"/>
      <c r="D157" s="9"/>
      <c r="E157" s="12" t="str">
        <f t="shared" si="4"/>
        <v/>
      </c>
      <c r="F157" s="9"/>
      <c r="G157" s="9"/>
      <c r="H157" s="10"/>
      <c r="I157" s="15"/>
      <c r="J157" s="9"/>
      <c r="K157" s="9"/>
      <c r="L157" s="9"/>
      <c r="M157" s="14" t="str">
        <f>IF(A157="","",IF(H157&gt;0,H157,IFERROR(INDEX(Puestos!$C$2:$C$100,MATCH(F157,Puestos!$A$2:$A$100,0)),0)))</f>
        <v/>
      </c>
      <c r="N157" s="14" t="str">
        <f>IF(A157="","",IFERROR(INDEX(Puestos!$D$2:$D$100,MATCH(F157,Puestos!$A$2:$A$100,0)),0))</f>
        <v/>
      </c>
      <c r="O157" s="12" t="str">
        <f>IF(A157="","",IFERROR(INDEX(Puestos!$B$2:$B$100,MATCH(F157,Puestos!$A$2:$A$100,0)),""))</f>
        <v/>
      </c>
      <c r="P157" s="12" t="str">
        <f>IF(A157="","",IFERROR(INDEX(Plazas!$B$2:$B$100,MATCH(G157,Plazas!$A$2:$A$100,0)),""))</f>
        <v/>
      </c>
      <c r="Q157" t="s" s="0">
        <v>11</v>
      </c>
      <c r="R157" t="s" s="0">
        <v>11</v>
      </c>
      <c r="S157" t="s" s="0">
        <v>11</v>
      </c>
      <c r="T157" t="s" s="0">
        <v>11</v>
      </c>
      <c r="U157" t="s" s="0">
        <v>11</v>
      </c>
    </row>
    <row r="158" spans="1:21" x14ac:dyDescent="0.45">
      <c r="A158" s="9"/>
      <c r="B158" s="9"/>
      <c r="C158" s="9"/>
      <c r="D158" s="9"/>
      <c r="E158" s="12" t="str">
        <f t="shared" si="4"/>
        <v/>
      </c>
      <c r="F158" s="9"/>
      <c r="G158" s="9"/>
      <c r="H158" s="10"/>
      <c r="I158" s="15"/>
      <c r="J158" s="9"/>
      <c r="K158" s="9"/>
      <c r="L158" s="9"/>
      <c r="M158" s="14" t="str">
        <f>IF(A158="","",IF(H158&gt;0,H158,IFERROR(INDEX(Puestos!$C$2:$C$100,MATCH(F158,Puestos!$A$2:$A$100,0)),0)))</f>
        <v/>
      </c>
      <c r="N158" s="14" t="str">
        <f>IF(A158="","",IFERROR(INDEX(Puestos!$D$2:$D$100,MATCH(F158,Puestos!$A$2:$A$100,0)),0))</f>
        <v/>
      </c>
      <c r="O158" s="12" t="str">
        <f>IF(A158="","",IFERROR(INDEX(Puestos!$B$2:$B$100,MATCH(F158,Puestos!$A$2:$A$100,0)),""))</f>
        <v/>
      </c>
      <c r="P158" s="12" t="str">
        <f>IF(A158="","",IFERROR(INDEX(Plazas!$B$2:$B$100,MATCH(G158,Plazas!$A$2:$A$100,0)),""))</f>
        <v/>
      </c>
      <c r="Q158" t="s" s="0">
        <v>11</v>
      </c>
      <c r="R158" t="s" s="0">
        <v>11</v>
      </c>
      <c r="S158" t="s" s="0">
        <v>11</v>
      </c>
      <c r="T158" t="s" s="0">
        <v>11</v>
      </c>
      <c r="U158" t="s" s="0">
        <v>11</v>
      </c>
    </row>
    <row r="159" spans="1:21" x14ac:dyDescent="0.45">
      <c r="A159" s="9"/>
      <c r="B159" s="9"/>
      <c r="C159" s="9"/>
      <c r="D159" s="9"/>
      <c r="E159" s="12" t="str">
        <f t="shared" si="4"/>
        <v/>
      </c>
      <c r="F159" s="9"/>
      <c r="G159" s="9"/>
      <c r="H159" s="10"/>
      <c r="I159" s="15"/>
      <c r="J159" s="9"/>
      <c r="K159" s="9"/>
      <c r="L159" s="9"/>
      <c r="M159" s="14" t="str">
        <f>IF(A159="","",IF(H159&gt;0,H159,IFERROR(INDEX(Puestos!$C$2:$C$100,MATCH(F159,Puestos!$A$2:$A$100,0)),0)))</f>
        <v/>
      </c>
      <c r="N159" s="14" t="str">
        <f>IF(A159="","",IFERROR(INDEX(Puestos!$D$2:$D$100,MATCH(F159,Puestos!$A$2:$A$100,0)),0))</f>
        <v/>
      </c>
      <c r="O159" s="12" t="str">
        <f>IF(A159="","",IFERROR(INDEX(Puestos!$B$2:$B$100,MATCH(F159,Puestos!$A$2:$A$100,0)),""))</f>
        <v/>
      </c>
      <c r="P159" s="12" t="str">
        <f>IF(A159="","",IFERROR(INDEX(Plazas!$B$2:$B$100,MATCH(G159,Plazas!$A$2:$A$100,0)),""))</f>
        <v/>
      </c>
      <c r="Q159" t="s" s="0">
        <v>11</v>
      </c>
      <c r="R159" t="s" s="0">
        <v>11</v>
      </c>
      <c r="S159" t="s" s="0">
        <v>11</v>
      </c>
      <c r="T159" t="s" s="0">
        <v>11</v>
      </c>
      <c r="U159" t="s" s="0">
        <v>11</v>
      </c>
    </row>
    <row r="160" spans="1:21" x14ac:dyDescent="0.45">
      <c r="A160" s="9"/>
      <c r="B160" s="9"/>
      <c r="C160" s="9"/>
      <c r="D160" s="9"/>
      <c r="E160" s="12" t="str">
        <f t="shared" si="4"/>
        <v/>
      </c>
      <c r="F160" s="9"/>
      <c r="G160" s="9"/>
      <c r="H160" s="10"/>
      <c r="I160" s="15"/>
      <c r="J160" s="9"/>
      <c r="K160" s="9"/>
      <c r="L160" s="9"/>
      <c r="M160" s="14" t="str">
        <f>IF(A160="","",IF(H160&gt;0,H160,IFERROR(INDEX(Puestos!$C$2:$C$100,MATCH(F160,Puestos!$A$2:$A$100,0)),0)))</f>
        <v/>
      </c>
      <c r="N160" s="14" t="str">
        <f>IF(A160="","",IFERROR(INDEX(Puestos!$D$2:$D$100,MATCH(F160,Puestos!$A$2:$A$100,0)),0))</f>
        <v/>
      </c>
      <c r="O160" s="12" t="str">
        <f>IF(A160="","",IFERROR(INDEX(Puestos!$B$2:$B$100,MATCH(F160,Puestos!$A$2:$A$100,0)),""))</f>
        <v/>
      </c>
      <c r="P160" s="12" t="str">
        <f>IF(A160="","",IFERROR(INDEX(Plazas!$B$2:$B$100,MATCH(G160,Plazas!$A$2:$A$100,0)),""))</f>
        <v/>
      </c>
      <c r="Q160" t="s" s="0">
        <v>11</v>
      </c>
      <c r="R160" t="s" s="0">
        <v>11</v>
      </c>
      <c r="S160" t="s" s="0">
        <v>11</v>
      </c>
      <c r="T160" t="s" s="0">
        <v>11</v>
      </c>
      <c r="U160" t="s" s="0">
        <v>11</v>
      </c>
    </row>
    <row r="161" spans="1:21" x14ac:dyDescent="0.45">
      <c r="A161" s="9"/>
      <c r="B161" s="9"/>
      <c r="C161" s="9"/>
      <c r="D161" s="9"/>
      <c r="E161" s="12" t="str">
        <f t="shared" si="4"/>
        <v/>
      </c>
      <c r="F161" s="9"/>
      <c r="G161" s="9"/>
      <c r="H161" s="10"/>
      <c r="I161" s="15"/>
      <c r="J161" s="9"/>
      <c r="K161" s="9"/>
      <c r="L161" s="9"/>
      <c r="M161" s="14" t="str">
        <f>IF(A161="","",IF(H161&gt;0,H161,IFERROR(INDEX(Puestos!$C$2:$C$100,MATCH(F161,Puestos!$A$2:$A$100,0)),0)))</f>
        <v/>
      </c>
      <c r="N161" s="14" t="str">
        <f>IF(A161="","",IFERROR(INDEX(Puestos!$D$2:$D$100,MATCH(F161,Puestos!$A$2:$A$100,0)),0))</f>
        <v/>
      </c>
      <c r="O161" s="12" t="str">
        <f>IF(A161="","",IFERROR(INDEX(Puestos!$B$2:$B$100,MATCH(F161,Puestos!$A$2:$A$100,0)),""))</f>
        <v/>
      </c>
      <c r="P161" s="12" t="str">
        <f>IF(A161="","",IFERROR(INDEX(Plazas!$B$2:$B$100,MATCH(G161,Plazas!$A$2:$A$100,0)),""))</f>
        <v/>
      </c>
      <c r="Q161" t="s" s="0">
        <v>11</v>
      </c>
      <c r="R161" t="s" s="0">
        <v>11</v>
      </c>
      <c r="S161" t="s" s="0">
        <v>11</v>
      </c>
      <c r="T161" t="s" s="0">
        <v>11</v>
      </c>
      <c r="U161" t="s" s="0">
        <v>11</v>
      </c>
    </row>
    <row r="162" spans="1:21" x14ac:dyDescent="0.45">
      <c r="A162" s="9"/>
      <c r="B162" s="9"/>
      <c r="C162" s="9"/>
      <c r="D162" s="9"/>
      <c r="E162" s="12" t="str">
        <f t="shared" si="4"/>
        <v/>
      </c>
      <c r="F162" s="9"/>
      <c r="G162" s="9"/>
      <c r="H162" s="10"/>
      <c r="I162" s="15"/>
      <c r="J162" s="9"/>
      <c r="K162" s="9"/>
      <c r="L162" s="9"/>
      <c r="M162" s="14" t="str">
        <f>IF(A162="","",IF(H162&gt;0,H162,IFERROR(INDEX(Puestos!$C$2:$C$100,MATCH(F162,Puestos!$A$2:$A$100,0)),0)))</f>
        <v/>
      </c>
      <c r="N162" s="14" t="str">
        <f>IF(A162="","",IFERROR(INDEX(Puestos!$D$2:$D$100,MATCH(F162,Puestos!$A$2:$A$100,0)),0))</f>
        <v/>
      </c>
      <c r="O162" s="12" t="str">
        <f>IF(A162="","",IFERROR(INDEX(Puestos!$B$2:$B$100,MATCH(F162,Puestos!$A$2:$A$100,0)),""))</f>
        <v/>
      </c>
      <c r="P162" s="12" t="str">
        <f>IF(A162="","",IFERROR(INDEX(Plazas!$B$2:$B$100,MATCH(G162,Plazas!$A$2:$A$100,0)),""))</f>
        <v/>
      </c>
      <c r="Q162" t="s" s="0">
        <v>11</v>
      </c>
      <c r="R162" t="s" s="0">
        <v>11</v>
      </c>
      <c r="S162" t="s" s="0">
        <v>11</v>
      </c>
      <c r="T162" t="s" s="0">
        <v>11</v>
      </c>
      <c r="U162" t="s" s="0">
        <v>11</v>
      </c>
    </row>
    <row r="163" spans="1:21" x14ac:dyDescent="0.45">
      <c r="A163" s="9"/>
      <c r="B163" s="9"/>
      <c r="C163" s="9"/>
      <c r="D163" s="9"/>
      <c r="E163" s="12" t="str">
        <f t="shared" si="4"/>
        <v/>
      </c>
      <c r="F163" s="9"/>
      <c r="G163" s="9"/>
      <c r="H163" s="10"/>
      <c r="I163" s="15"/>
      <c r="J163" s="9"/>
      <c r="K163" s="9"/>
      <c r="L163" s="9"/>
      <c r="M163" s="14" t="str">
        <f>IF(A163="","",IF(H163&gt;0,H163,IFERROR(INDEX(Puestos!$C$2:$C$100,MATCH(F163,Puestos!$A$2:$A$100,0)),0)))</f>
        <v/>
      </c>
      <c r="N163" s="14" t="str">
        <f>IF(A163="","",IFERROR(INDEX(Puestos!$D$2:$D$100,MATCH(F163,Puestos!$A$2:$A$100,0)),0))</f>
        <v/>
      </c>
      <c r="O163" s="12" t="str">
        <f>IF(A163="","",IFERROR(INDEX(Puestos!$B$2:$B$100,MATCH(F163,Puestos!$A$2:$A$100,0)),""))</f>
        <v/>
      </c>
      <c r="P163" s="12" t="str">
        <f>IF(A163="","",IFERROR(INDEX(Plazas!$B$2:$B$100,MATCH(G163,Plazas!$A$2:$A$100,0)),""))</f>
        <v/>
      </c>
      <c r="Q163" t="s" s="0">
        <v>11</v>
      </c>
      <c r="R163" t="s" s="0">
        <v>11</v>
      </c>
      <c r="S163" t="s" s="0">
        <v>11</v>
      </c>
      <c r="T163" t="s" s="0">
        <v>11</v>
      </c>
      <c r="U163" t="s" s="0">
        <v>11</v>
      </c>
    </row>
    <row r="164" spans="1:21" x14ac:dyDescent="0.45">
      <c r="A164" s="9"/>
      <c r="B164" s="9"/>
      <c r="C164" s="9"/>
      <c r="D164" s="9"/>
      <c r="E164" s="12" t="str">
        <f t="shared" si="4"/>
        <v/>
      </c>
      <c r="F164" s="9"/>
      <c r="G164" s="9"/>
      <c r="H164" s="10"/>
      <c r="I164" s="15"/>
      <c r="J164" s="9"/>
      <c r="K164" s="9"/>
      <c r="L164" s="9"/>
      <c r="M164" s="14" t="str">
        <f>IF(A164="","",IF(H164&gt;0,H164,IFERROR(INDEX(Puestos!$C$2:$C$100,MATCH(F164,Puestos!$A$2:$A$100,0)),0)))</f>
        <v/>
      </c>
      <c r="N164" s="14" t="str">
        <f>IF(A164="","",IFERROR(INDEX(Puestos!$D$2:$D$100,MATCH(F164,Puestos!$A$2:$A$100,0)),0))</f>
        <v/>
      </c>
      <c r="O164" s="12" t="str">
        <f>IF(A164="","",IFERROR(INDEX(Puestos!$B$2:$B$100,MATCH(F164,Puestos!$A$2:$A$100,0)),""))</f>
        <v/>
      </c>
      <c r="P164" s="12" t="str">
        <f>IF(A164="","",IFERROR(INDEX(Plazas!$B$2:$B$100,MATCH(G164,Plazas!$A$2:$A$100,0)),""))</f>
        <v/>
      </c>
      <c r="Q164" t="s" s="0">
        <v>11</v>
      </c>
      <c r="R164" t="s" s="0">
        <v>11</v>
      </c>
      <c r="S164" t="s" s="0">
        <v>11</v>
      </c>
      <c r="T164" t="s" s="0">
        <v>11</v>
      </c>
      <c r="U164" t="s" s="0">
        <v>11</v>
      </c>
    </row>
    <row r="165" spans="1:21" x14ac:dyDescent="0.45">
      <c r="A165" s="9"/>
      <c r="B165" s="9"/>
      <c r="C165" s="9"/>
      <c r="D165" s="9"/>
      <c r="E165" s="12" t="str">
        <f t="shared" si="4"/>
        <v/>
      </c>
      <c r="F165" s="9"/>
      <c r="G165" s="9"/>
      <c r="H165" s="10"/>
      <c r="I165" s="15"/>
      <c r="J165" s="9"/>
      <c r="K165" s="9"/>
      <c r="L165" s="9"/>
      <c r="M165" s="14" t="str">
        <f>IF(A165="","",IF(H165&gt;0,H165,IFERROR(INDEX(Puestos!$C$2:$C$100,MATCH(F165,Puestos!$A$2:$A$100,0)),0)))</f>
        <v/>
      </c>
      <c r="N165" s="14" t="str">
        <f>IF(A165="","",IFERROR(INDEX(Puestos!$D$2:$D$100,MATCH(F165,Puestos!$A$2:$A$100,0)),0))</f>
        <v/>
      </c>
      <c r="O165" s="12" t="str">
        <f>IF(A165="","",IFERROR(INDEX(Puestos!$B$2:$B$100,MATCH(F165,Puestos!$A$2:$A$100,0)),""))</f>
        <v/>
      </c>
      <c r="P165" s="12" t="str">
        <f>IF(A165="","",IFERROR(INDEX(Plazas!$B$2:$B$100,MATCH(G165,Plazas!$A$2:$A$100,0)),""))</f>
        <v/>
      </c>
      <c r="Q165" t="s" s="0">
        <v>11</v>
      </c>
      <c r="R165" t="s" s="0">
        <v>11</v>
      </c>
      <c r="S165" t="s" s="0">
        <v>11</v>
      </c>
      <c r="T165" t="s" s="0">
        <v>11</v>
      </c>
      <c r="U165" t="s" s="0">
        <v>11</v>
      </c>
    </row>
    <row r="166" spans="1:21" x14ac:dyDescent="0.45">
      <c r="A166" s="9"/>
      <c r="B166" s="9"/>
      <c r="C166" s="9"/>
      <c r="D166" s="9"/>
      <c r="E166" s="12" t="str">
        <f t="shared" ref="E166:E197" si="5">IF(A166="","",TRIM(B166&amp;" "&amp;C166&amp;" "&amp;D166))</f>
        <v/>
      </c>
      <c r="F166" s="9"/>
      <c r="G166" s="9"/>
      <c r="H166" s="10"/>
      <c r="I166" s="15"/>
      <c r="J166" s="9"/>
      <c r="K166" s="9"/>
      <c r="L166" s="9"/>
      <c r="M166" s="14" t="str">
        <f>IF(A166="","",IF(H166&gt;0,H166,IFERROR(INDEX(Puestos!$C$2:$C$100,MATCH(F166,Puestos!$A$2:$A$100,0)),0)))</f>
        <v/>
      </c>
      <c r="N166" s="14" t="str">
        <f>IF(A166="","",IFERROR(INDEX(Puestos!$D$2:$D$100,MATCH(F166,Puestos!$A$2:$A$100,0)),0))</f>
        <v/>
      </c>
      <c r="O166" s="12" t="str">
        <f>IF(A166="","",IFERROR(INDEX(Puestos!$B$2:$B$100,MATCH(F166,Puestos!$A$2:$A$100,0)),""))</f>
        <v/>
      </c>
      <c r="P166" s="12" t="str">
        <f>IF(A166="","",IFERROR(INDEX(Plazas!$B$2:$B$100,MATCH(G166,Plazas!$A$2:$A$100,0)),""))</f>
        <v/>
      </c>
      <c r="Q166" t="s" s="0">
        <v>11</v>
      </c>
      <c r="R166" t="s" s="0">
        <v>11</v>
      </c>
      <c r="S166" t="s" s="0">
        <v>11</v>
      </c>
      <c r="T166" t="s" s="0">
        <v>11</v>
      </c>
      <c r="U166" t="s" s="0">
        <v>11</v>
      </c>
    </row>
    <row r="167" spans="1:21" x14ac:dyDescent="0.45">
      <c r="A167" s="9"/>
      <c r="B167" s="9"/>
      <c r="C167" s="9"/>
      <c r="D167" s="9"/>
      <c r="E167" s="12" t="str">
        <f t="shared" si="5"/>
        <v/>
      </c>
      <c r="F167" s="9"/>
      <c r="G167" s="9"/>
      <c r="H167" s="10"/>
      <c r="I167" s="15"/>
      <c r="J167" s="9"/>
      <c r="K167" s="9"/>
      <c r="L167" s="9"/>
      <c r="M167" s="14" t="str">
        <f>IF(A167="","",IF(H167&gt;0,H167,IFERROR(INDEX(Puestos!$C$2:$C$100,MATCH(F167,Puestos!$A$2:$A$100,0)),0)))</f>
        <v/>
      </c>
      <c r="N167" s="14" t="str">
        <f>IF(A167="","",IFERROR(INDEX(Puestos!$D$2:$D$100,MATCH(F167,Puestos!$A$2:$A$100,0)),0))</f>
        <v/>
      </c>
      <c r="O167" s="12" t="str">
        <f>IF(A167="","",IFERROR(INDEX(Puestos!$B$2:$B$100,MATCH(F167,Puestos!$A$2:$A$100,0)),""))</f>
        <v/>
      </c>
      <c r="P167" s="12" t="str">
        <f>IF(A167="","",IFERROR(INDEX(Plazas!$B$2:$B$100,MATCH(G167,Plazas!$A$2:$A$100,0)),""))</f>
        <v/>
      </c>
      <c r="Q167" t="s" s="0">
        <v>11</v>
      </c>
      <c r="R167" t="s" s="0">
        <v>11</v>
      </c>
      <c r="S167" t="s" s="0">
        <v>11</v>
      </c>
      <c r="T167" t="s" s="0">
        <v>11</v>
      </c>
      <c r="U167" t="s" s="0">
        <v>11</v>
      </c>
    </row>
    <row r="168" spans="1:21" x14ac:dyDescent="0.45">
      <c r="A168" s="9"/>
      <c r="B168" s="9"/>
      <c r="C168" s="9"/>
      <c r="D168" s="9"/>
      <c r="E168" s="12" t="str">
        <f t="shared" si="5"/>
        <v/>
      </c>
      <c r="F168" s="9"/>
      <c r="G168" s="9"/>
      <c r="H168" s="10"/>
      <c r="I168" s="15"/>
      <c r="J168" s="9"/>
      <c r="K168" s="9"/>
      <c r="L168" s="9"/>
      <c r="M168" s="14" t="str">
        <f>IF(A168="","",IF(H168&gt;0,H168,IFERROR(INDEX(Puestos!$C$2:$C$100,MATCH(F168,Puestos!$A$2:$A$100,0)),0)))</f>
        <v/>
      </c>
      <c r="N168" s="14" t="str">
        <f>IF(A168="","",IFERROR(INDEX(Puestos!$D$2:$D$100,MATCH(F168,Puestos!$A$2:$A$100,0)),0))</f>
        <v/>
      </c>
      <c r="O168" s="12" t="str">
        <f>IF(A168="","",IFERROR(INDEX(Puestos!$B$2:$B$100,MATCH(F168,Puestos!$A$2:$A$100,0)),""))</f>
        <v/>
      </c>
      <c r="P168" s="12" t="str">
        <f>IF(A168="","",IFERROR(INDEX(Plazas!$B$2:$B$100,MATCH(G168,Plazas!$A$2:$A$100,0)),""))</f>
        <v/>
      </c>
      <c r="Q168" t="s" s="0">
        <v>11</v>
      </c>
      <c r="R168" t="s" s="0">
        <v>11</v>
      </c>
      <c r="S168" t="s" s="0">
        <v>11</v>
      </c>
      <c r="T168" t="s" s="0">
        <v>11</v>
      </c>
      <c r="U168" t="s" s="0">
        <v>11</v>
      </c>
    </row>
    <row r="169" spans="1:21" x14ac:dyDescent="0.45">
      <c r="A169" s="9"/>
      <c r="B169" s="9"/>
      <c r="C169" s="9"/>
      <c r="D169" s="9"/>
      <c r="E169" s="12" t="str">
        <f t="shared" si="5"/>
        <v/>
      </c>
      <c r="F169" s="9"/>
      <c r="G169" s="9"/>
      <c r="H169" s="10"/>
      <c r="I169" s="15"/>
      <c r="J169" s="9"/>
      <c r="K169" s="9"/>
      <c r="L169" s="9"/>
      <c r="M169" s="14" t="str">
        <f>IF(A169="","",IF(H169&gt;0,H169,IFERROR(INDEX(Puestos!$C$2:$C$100,MATCH(F169,Puestos!$A$2:$A$100,0)),0)))</f>
        <v/>
      </c>
      <c r="N169" s="14" t="str">
        <f>IF(A169="","",IFERROR(INDEX(Puestos!$D$2:$D$100,MATCH(F169,Puestos!$A$2:$A$100,0)),0))</f>
        <v/>
      </c>
      <c r="O169" s="12" t="str">
        <f>IF(A169="","",IFERROR(INDEX(Puestos!$B$2:$B$100,MATCH(F169,Puestos!$A$2:$A$100,0)),""))</f>
        <v/>
      </c>
      <c r="P169" s="12" t="str">
        <f>IF(A169="","",IFERROR(INDEX(Plazas!$B$2:$B$100,MATCH(G169,Plazas!$A$2:$A$100,0)),""))</f>
        <v/>
      </c>
      <c r="Q169" t="s" s="0">
        <v>11</v>
      </c>
      <c r="R169" t="s" s="0">
        <v>11</v>
      </c>
      <c r="S169" t="s" s="0">
        <v>11</v>
      </c>
      <c r="T169" t="s" s="0">
        <v>11</v>
      </c>
      <c r="U169" t="s" s="0">
        <v>11</v>
      </c>
    </row>
    <row r="170" spans="1:21" x14ac:dyDescent="0.45">
      <c r="A170" s="9"/>
      <c r="B170" s="9"/>
      <c r="C170" s="9"/>
      <c r="D170" s="9"/>
      <c r="E170" s="12" t="str">
        <f t="shared" si="5"/>
        <v/>
      </c>
      <c r="F170" s="9"/>
      <c r="G170" s="9"/>
      <c r="H170" s="10"/>
      <c r="I170" s="15"/>
      <c r="J170" s="9"/>
      <c r="K170" s="9"/>
      <c r="L170" s="9"/>
      <c r="M170" s="14" t="str">
        <f>IF(A170="","",IF(H170&gt;0,H170,IFERROR(INDEX(Puestos!$C$2:$C$100,MATCH(F170,Puestos!$A$2:$A$100,0)),0)))</f>
        <v/>
      </c>
      <c r="N170" s="14" t="str">
        <f>IF(A170="","",IFERROR(INDEX(Puestos!$D$2:$D$100,MATCH(F170,Puestos!$A$2:$A$100,0)),0))</f>
        <v/>
      </c>
      <c r="O170" s="12" t="str">
        <f>IF(A170="","",IFERROR(INDEX(Puestos!$B$2:$B$100,MATCH(F170,Puestos!$A$2:$A$100,0)),""))</f>
        <v/>
      </c>
      <c r="P170" s="12" t="str">
        <f>IF(A170="","",IFERROR(INDEX(Plazas!$B$2:$B$100,MATCH(G170,Plazas!$A$2:$A$100,0)),""))</f>
        <v/>
      </c>
      <c r="Q170" t="s" s="0">
        <v>11</v>
      </c>
      <c r="R170" t="s" s="0">
        <v>11</v>
      </c>
      <c r="S170" t="s" s="0">
        <v>11</v>
      </c>
      <c r="T170" t="s" s="0">
        <v>11</v>
      </c>
      <c r="U170" t="s" s="0">
        <v>11</v>
      </c>
    </row>
    <row r="171" spans="1:21" x14ac:dyDescent="0.45">
      <c r="A171" s="9"/>
      <c r="B171" s="9"/>
      <c r="C171" s="9"/>
      <c r="D171" s="9"/>
      <c r="E171" s="12" t="str">
        <f t="shared" si="5"/>
        <v/>
      </c>
      <c r="F171" s="9"/>
      <c r="G171" s="9"/>
      <c r="H171" s="10"/>
      <c r="I171" s="15"/>
      <c r="J171" s="9"/>
      <c r="K171" s="9"/>
      <c r="L171" s="9"/>
      <c r="M171" s="14" t="str">
        <f>IF(A171="","",IF(H171&gt;0,H171,IFERROR(INDEX(Puestos!$C$2:$C$100,MATCH(F171,Puestos!$A$2:$A$100,0)),0)))</f>
        <v/>
      </c>
      <c r="N171" s="14" t="str">
        <f>IF(A171="","",IFERROR(INDEX(Puestos!$D$2:$D$100,MATCH(F171,Puestos!$A$2:$A$100,0)),0))</f>
        <v/>
      </c>
      <c r="O171" s="12" t="str">
        <f>IF(A171="","",IFERROR(INDEX(Puestos!$B$2:$B$100,MATCH(F171,Puestos!$A$2:$A$100,0)),""))</f>
        <v/>
      </c>
      <c r="P171" s="12" t="str">
        <f>IF(A171="","",IFERROR(INDEX(Plazas!$B$2:$B$100,MATCH(G171,Plazas!$A$2:$A$100,0)),""))</f>
        <v/>
      </c>
      <c r="Q171" t="s" s="0">
        <v>11</v>
      </c>
      <c r="R171" t="s" s="0">
        <v>11</v>
      </c>
      <c r="S171" t="s" s="0">
        <v>11</v>
      </c>
      <c r="T171" t="s" s="0">
        <v>11</v>
      </c>
      <c r="U171" t="s" s="0">
        <v>11</v>
      </c>
    </row>
    <row r="172" spans="1:21" x14ac:dyDescent="0.45">
      <c r="A172" s="9"/>
      <c r="B172" s="9"/>
      <c r="C172" s="9"/>
      <c r="D172" s="9"/>
      <c r="E172" s="12" t="str">
        <f t="shared" si="5"/>
        <v/>
      </c>
      <c r="F172" s="9"/>
      <c r="G172" s="9"/>
      <c r="H172" s="10"/>
      <c r="I172" s="15"/>
      <c r="J172" s="9"/>
      <c r="K172" s="9"/>
      <c r="L172" s="9"/>
      <c r="M172" s="14" t="str">
        <f>IF(A172="","",IF(H172&gt;0,H172,IFERROR(INDEX(Puestos!$C$2:$C$100,MATCH(F172,Puestos!$A$2:$A$100,0)),0)))</f>
        <v/>
      </c>
      <c r="N172" s="14" t="str">
        <f>IF(A172="","",IFERROR(INDEX(Puestos!$D$2:$D$100,MATCH(F172,Puestos!$A$2:$A$100,0)),0))</f>
        <v/>
      </c>
      <c r="O172" s="12" t="str">
        <f>IF(A172="","",IFERROR(INDEX(Puestos!$B$2:$B$100,MATCH(F172,Puestos!$A$2:$A$100,0)),""))</f>
        <v/>
      </c>
      <c r="P172" s="12" t="str">
        <f>IF(A172="","",IFERROR(INDEX(Plazas!$B$2:$B$100,MATCH(G172,Plazas!$A$2:$A$100,0)),""))</f>
        <v/>
      </c>
      <c r="Q172" t="s" s="0">
        <v>11</v>
      </c>
      <c r="R172" t="s" s="0">
        <v>11</v>
      </c>
      <c r="S172" t="s" s="0">
        <v>11</v>
      </c>
      <c r="T172" t="s" s="0">
        <v>11</v>
      </c>
      <c r="U172" t="s" s="0">
        <v>11</v>
      </c>
    </row>
    <row r="173" spans="1:21" x14ac:dyDescent="0.45">
      <c r="A173" s="9"/>
      <c r="B173" s="9"/>
      <c r="C173" s="9"/>
      <c r="D173" s="9"/>
      <c r="E173" s="12" t="str">
        <f t="shared" si="5"/>
        <v/>
      </c>
      <c r="F173" s="9"/>
      <c r="G173" s="9"/>
      <c r="H173" s="10"/>
      <c r="I173" s="15"/>
      <c r="J173" s="9"/>
      <c r="K173" s="9"/>
      <c r="L173" s="9"/>
      <c r="M173" s="14" t="str">
        <f>IF(A173="","",IF(H173&gt;0,H173,IFERROR(INDEX(Puestos!$C$2:$C$100,MATCH(F173,Puestos!$A$2:$A$100,0)),0)))</f>
        <v/>
      </c>
      <c r="N173" s="14" t="str">
        <f>IF(A173="","",IFERROR(INDEX(Puestos!$D$2:$D$100,MATCH(F173,Puestos!$A$2:$A$100,0)),0))</f>
        <v/>
      </c>
      <c r="O173" s="12" t="str">
        <f>IF(A173="","",IFERROR(INDEX(Puestos!$B$2:$B$100,MATCH(F173,Puestos!$A$2:$A$100,0)),""))</f>
        <v/>
      </c>
      <c r="P173" s="12" t="str">
        <f>IF(A173="","",IFERROR(INDEX(Plazas!$B$2:$B$100,MATCH(G173,Plazas!$A$2:$A$100,0)),""))</f>
        <v/>
      </c>
      <c r="Q173" t="s" s="0">
        <v>11</v>
      </c>
      <c r="R173" t="s" s="0">
        <v>11</v>
      </c>
      <c r="S173" t="s" s="0">
        <v>11</v>
      </c>
      <c r="T173" t="s" s="0">
        <v>11</v>
      </c>
      <c r="U173" t="s" s="0">
        <v>11</v>
      </c>
    </row>
    <row r="174" spans="1:21" x14ac:dyDescent="0.45">
      <c r="A174" s="9"/>
      <c r="B174" s="9"/>
      <c r="C174" s="9"/>
      <c r="D174" s="9"/>
      <c r="E174" s="12" t="str">
        <f t="shared" si="5"/>
        <v/>
      </c>
      <c r="F174" s="9"/>
      <c r="G174" s="9"/>
      <c r="H174" s="10"/>
      <c r="I174" s="15"/>
      <c r="J174" s="9"/>
      <c r="K174" s="9"/>
      <c r="L174" s="9"/>
      <c r="M174" s="14" t="str">
        <f>IF(A174="","",IF(H174&gt;0,H174,IFERROR(INDEX(Puestos!$C$2:$C$100,MATCH(F174,Puestos!$A$2:$A$100,0)),0)))</f>
        <v/>
      </c>
      <c r="N174" s="14" t="str">
        <f>IF(A174="","",IFERROR(INDEX(Puestos!$D$2:$D$100,MATCH(F174,Puestos!$A$2:$A$100,0)),0))</f>
        <v/>
      </c>
      <c r="O174" s="12" t="str">
        <f>IF(A174="","",IFERROR(INDEX(Puestos!$B$2:$B$100,MATCH(F174,Puestos!$A$2:$A$100,0)),""))</f>
        <v/>
      </c>
      <c r="P174" s="12" t="str">
        <f>IF(A174="","",IFERROR(INDEX(Plazas!$B$2:$B$100,MATCH(G174,Plazas!$A$2:$A$100,0)),""))</f>
        <v/>
      </c>
      <c r="Q174" t="s" s="0">
        <v>11</v>
      </c>
      <c r="R174" t="s" s="0">
        <v>11</v>
      </c>
      <c r="S174" t="s" s="0">
        <v>11</v>
      </c>
      <c r="T174" t="s" s="0">
        <v>11</v>
      </c>
      <c r="U174" t="s" s="0">
        <v>11</v>
      </c>
    </row>
    <row r="175" spans="1:21" x14ac:dyDescent="0.45">
      <c r="A175" s="9"/>
      <c r="B175" s="9"/>
      <c r="C175" s="9"/>
      <c r="D175" s="9"/>
      <c r="E175" s="12" t="str">
        <f t="shared" si="5"/>
        <v/>
      </c>
      <c r="F175" s="9"/>
      <c r="G175" s="9"/>
      <c r="H175" s="10"/>
      <c r="I175" s="15"/>
      <c r="J175" s="9"/>
      <c r="K175" s="9"/>
      <c r="L175" s="9"/>
      <c r="M175" s="14" t="str">
        <f>IF(A175="","",IF(H175&gt;0,H175,IFERROR(INDEX(Puestos!$C$2:$C$100,MATCH(F175,Puestos!$A$2:$A$100,0)),0)))</f>
        <v/>
      </c>
      <c r="N175" s="14" t="str">
        <f>IF(A175="","",IFERROR(INDEX(Puestos!$D$2:$D$100,MATCH(F175,Puestos!$A$2:$A$100,0)),0))</f>
        <v/>
      </c>
      <c r="O175" s="12" t="str">
        <f>IF(A175="","",IFERROR(INDEX(Puestos!$B$2:$B$100,MATCH(F175,Puestos!$A$2:$A$100,0)),""))</f>
        <v/>
      </c>
      <c r="P175" s="12" t="str">
        <f>IF(A175="","",IFERROR(INDEX(Plazas!$B$2:$B$100,MATCH(G175,Plazas!$A$2:$A$100,0)),""))</f>
        <v/>
      </c>
      <c r="Q175" t="s" s="0">
        <v>11</v>
      </c>
      <c r="R175" t="s" s="0">
        <v>11</v>
      </c>
      <c r="S175" t="s" s="0">
        <v>11</v>
      </c>
      <c r="T175" t="s" s="0">
        <v>11</v>
      </c>
      <c r="U175" t="s" s="0">
        <v>11</v>
      </c>
    </row>
    <row r="176" spans="1:21" x14ac:dyDescent="0.45">
      <c r="A176" s="9"/>
      <c r="B176" s="9"/>
      <c r="C176" s="9"/>
      <c r="D176" s="9"/>
      <c r="E176" s="12" t="str">
        <f t="shared" si="5"/>
        <v/>
      </c>
      <c r="F176" s="9"/>
      <c r="G176" s="9"/>
      <c r="H176" s="10"/>
      <c r="I176" s="15"/>
      <c r="J176" s="9"/>
      <c r="K176" s="9"/>
      <c r="L176" s="9"/>
      <c r="M176" s="14" t="str">
        <f>IF(A176="","",IF(H176&gt;0,H176,IFERROR(INDEX(Puestos!$C$2:$C$100,MATCH(F176,Puestos!$A$2:$A$100,0)),0)))</f>
        <v/>
      </c>
      <c r="N176" s="14" t="str">
        <f>IF(A176="","",IFERROR(INDEX(Puestos!$D$2:$D$100,MATCH(F176,Puestos!$A$2:$A$100,0)),0))</f>
        <v/>
      </c>
      <c r="O176" s="12" t="str">
        <f>IF(A176="","",IFERROR(INDEX(Puestos!$B$2:$B$100,MATCH(F176,Puestos!$A$2:$A$100,0)),""))</f>
        <v/>
      </c>
      <c r="P176" s="12" t="str">
        <f>IF(A176="","",IFERROR(INDEX(Plazas!$B$2:$B$100,MATCH(G176,Plazas!$A$2:$A$100,0)),""))</f>
        <v/>
      </c>
      <c r="Q176" t="s" s="0">
        <v>11</v>
      </c>
      <c r="R176" t="s" s="0">
        <v>11</v>
      </c>
      <c r="S176" t="s" s="0">
        <v>11</v>
      </c>
      <c r="T176" t="s" s="0">
        <v>11</v>
      </c>
      <c r="U176" t="s" s="0">
        <v>11</v>
      </c>
    </row>
    <row r="177" spans="1:21" x14ac:dyDescent="0.45">
      <c r="A177" s="9"/>
      <c r="B177" s="9"/>
      <c r="C177" s="9"/>
      <c r="D177" s="9"/>
      <c r="E177" s="12" t="str">
        <f t="shared" si="5"/>
        <v/>
      </c>
      <c r="F177" s="9"/>
      <c r="G177" s="9"/>
      <c r="H177" s="10"/>
      <c r="I177" s="15"/>
      <c r="J177" s="9"/>
      <c r="K177" s="9"/>
      <c r="L177" s="9"/>
      <c r="M177" s="14" t="str">
        <f>IF(A177="","",IF(H177&gt;0,H177,IFERROR(INDEX(Puestos!$C$2:$C$100,MATCH(F177,Puestos!$A$2:$A$100,0)),0)))</f>
        <v/>
      </c>
      <c r="N177" s="14" t="str">
        <f>IF(A177="","",IFERROR(INDEX(Puestos!$D$2:$D$100,MATCH(F177,Puestos!$A$2:$A$100,0)),0))</f>
        <v/>
      </c>
      <c r="O177" s="12" t="str">
        <f>IF(A177="","",IFERROR(INDEX(Puestos!$B$2:$B$100,MATCH(F177,Puestos!$A$2:$A$100,0)),""))</f>
        <v/>
      </c>
      <c r="P177" s="12" t="str">
        <f>IF(A177="","",IFERROR(INDEX(Plazas!$B$2:$B$100,MATCH(G177,Plazas!$A$2:$A$100,0)),""))</f>
        <v/>
      </c>
      <c r="Q177" t="s" s="0">
        <v>11</v>
      </c>
      <c r="R177" t="s" s="0">
        <v>11</v>
      </c>
      <c r="S177" t="s" s="0">
        <v>11</v>
      </c>
      <c r="T177" t="s" s="0">
        <v>11</v>
      </c>
      <c r="U177" t="s" s="0">
        <v>11</v>
      </c>
    </row>
    <row r="178" spans="1:21" x14ac:dyDescent="0.45">
      <c r="A178" s="9"/>
      <c r="B178" s="9"/>
      <c r="C178" s="9"/>
      <c r="D178" s="9"/>
      <c r="E178" s="12" t="str">
        <f t="shared" si="5"/>
        <v/>
      </c>
      <c r="F178" s="9"/>
      <c r="G178" s="9"/>
      <c r="H178" s="10"/>
      <c r="I178" s="15"/>
      <c r="J178" s="9"/>
      <c r="K178" s="9"/>
      <c r="L178" s="9"/>
      <c r="M178" s="14" t="str">
        <f>IF(A178="","",IF(H178&gt;0,H178,IFERROR(INDEX(Puestos!$C$2:$C$100,MATCH(F178,Puestos!$A$2:$A$100,0)),0)))</f>
        <v/>
      </c>
      <c r="N178" s="14" t="str">
        <f>IF(A178="","",IFERROR(INDEX(Puestos!$D$2:$D$100,MATCH(F178,Puestos!$A$2:$A$100,0)),0))</f>
        <v/>
      </c>
      <c r="O178" s="12" t="str">
        <f>IF(A178="","",IFERROR(INDEX(Puestos!$B$2:$B$100,MATCH(F178,Puestos!$A$2:$A$100,0)),""))</f>
        <v/>
      </c>
      <c r="P178" s="12" t="str">
        <f>IF(A178="","",IFERROR(INDEX(Plazas!$B$2:$B$100,MATCH(G178,Plazas!$A$2:$A$100,0)),""))</f>
        <v/>
      </c>
      <c r="Q178" t="s" s="0">
        <v>11</v>
      </c>
      <c r="R178" t="s" s="0">
        <v>11</v>
      </c>
      <c r="S178" t="s" s="0">
        <v>11</v>
      </c>
      <c r="T178" t="s" s="0">
        <v>11</v>
      </c>
      <c r="U178" t="s" s="0">
        <v>11</v>
      </c>
    </row>
    <row r="179" spans="1:21" x14ac:dyDescent="0.45">
      <c r="A179" s="9"/>
      <c r="B179" s="9"/>
      <c r="C179" s="9"/>
      <c r="D179" s="9"/>
      <c r="E179" s="12" t="str">
        <f t="shared" si="5"/>
        <v/>
      </c>
      <c r="F179" s="9"/>
      <c r="G179" s="9"/>
      <c r="H179" s="10"/>
      <c r="I179" s="15"/>
      <c r="J179" s="9"/>
      <c r="K179" s="9"/>
      <c r="L179" s="9"/>
      <c r="M179" s="14" t="str">
        <f>IF(A179="","",IF(H179&gt;0,H179,IFERROR(INDEX(Puestos!$C$2:$C$100,MATCH(F179,Puestos!$A$2:$A$100,0)),0)))</f>
        <v/>
      </c>
      <c r="N179" s="14" t="str">
        <f>IF(A179="","",IFERROR(INDEX(Puestos!$D$2:$D$100,MATCH(F179,Puestos!$A$2:$A$100,0)),0))</f>
        <v/>
      </c>
      <c r="O179" s="12" t="str">
        <f>IF(A179="","",IFERROR(INDEX(Puestos!$B$2:$B$100,MATCH(F179,Puestos!$A$2:$A$100,0)),""))</f>
        <v/>
      </c>
      <c r="P179" s="12" t="str">
        <f>IF(A179="","",IFERROR(INDEX(Plazas!$B$2:$B$100,MATCH(G179,Plazas!$A$2:$A$100,0)),""))</f>
        <v/>
      </c>
      <c r="Q179" t="s" s="0">
        <v>11</v>
      </c>
      <c r="R179" t="s" s="0">
        <v>11</v>
      </c>
      <c r="S179" t="s" s="0">
        <v>11</v>
      </c>
      <c r="T179" t="s" s="0">
        <v>11</v>
      </c>
      <c r="U179" t="s" s="0">
        <v>11</v>
      </c>
    </row>
    <row r="180" spans="1:21" x14ac:dyDescent="0.45">
      <c r="A180" s="9"/>
      <c r="B180" s="9"/>
      <c r="C180" s="9"/>
      <c r="D180" s="9"/>
      <c r="E180" s="12" t="str">
        <f t="shared" si="5"/>
        <v/>
      </c>
      <c r="F180" s="9"/>
      <c r="G180" s="9"/>
      <c r="H180" s="10"/>
      <c r="I180" s="15"/>
      <c r="J180" s="9"/>
      <c r="K180" s="9"/>
      <c r="L180" s="9"/>
      <c r="M180" s="14" t="str">
        <f>IF(A180="","",IF(H180&gt;0,H180,IFERROR(INDEX(Puestos!$C$2:$C$100,MATCH(F180,Puestos!$A$2:$A$100,0)),0)))</f>
        <v/>
      </c>
      <c r="N180" s="14" t="str">
        <f>IF(A180="","",IFERROR(INDEX(Puestos!$D$2:$D$100,MATCH(F180,Puestos!$A$2:$A$100,0)),0))</f>
        <v/>
      </c>
      <c r="O180" s="12" t="str">
        <f>IF(A180="","",IFERROR(INDEX(Puestos!$B$2:$B$100,MATCH(F180,Puestos!$A$2:$A$100,0)),""))</f>
        <v/>
      </c>
      <c r="P180" s="12" t="str">
        <f>IF(A180="","",IFERROR(INDEX(Plazas!$B$2:$B$100,MATCH(G180,Plazas!$A$2:$A$100,0)),""))</f>
        <v/>
      </c>
      <c r="Q180" t="s" s="0">
        <v>11</v>
      </c>
      <c r="R180" t="s" s="0">
        <v>11</v>
      </c>
      <c r="S180" t="s" s="0">
        <v>11</v>
      </c>
      <c r="T180" t="s" s="0">
        <v>11</v>
      </c>
      <c r="U180" t="s" s="0">
        <v>11</v>
      </c>
    </row>
    <row r="181" spans="1:21" x14ac:dyDescent="0.45">
      <c r="A181" s="9"/>
      <c r="B181" s="9"/>
      <c r="C181" s="9"/>
      <c r="D181" s="9"/>
      <c r="E181" s="12" t="str">
        <f t="shared" si="5"/>
        <v/>
      </c>
      <c r="F181" s="9"/>
      <c r="G181" s="9"/>
      <c r="H181" s="10"/>
      <c r="I181" s="15"/>
      <c r="J181" s="9"/>
      <c r="K181" s="9"/>
      <c r="L181" s="9"/>
      <c r="M181" s="14" t="str">
        <f>IF(A181="","",IF(H181&gt;0,H181,IFERROR(INDEX(Puestos!$C$2:$C$100,MATCH(F181,Puestos!$A$2:$A$100,0)),0)))</f>
        <v/>
      </c>
      <c r="N181" s="14" t="str">
        <f>IF(A181="","",IFERROR(INDEX(Puestos!$D$2:$D$100,MATCH(F181,Puestos!$A$2:$A$100,0)),0))</f>
        <v/>
      </c>
      <c r="O181" s="12" t="str">
        <f>IF(A181="","",IFERROR(INDEX(Puestos!$B$2:$B$100,MATCH(F181,Puestos!$A$2:$A$100,0)),""))</f>
        <v/>
      </c>
      <c r="P181" s="12" t="str">
        <f>IF(A181="","",IFERROR(INDEX(Plazas!$B$2:$B$100,MATCH(G181,Plazas!$A$2:$A$100,0)),""))</f>
        <v/>
      </c>
      <c r="Q181" t="s" s="0">
        <v>11</v>
      </c>
      <c r="R181" t="s" s="0">
        <v>11</v>
      </c>
      <c r="S181" t="s" s="0">
        <v>11</v>
      </c>
      <c r="T181" t="s" s="0">
        <v>11</v>
      </c>
      <c r="U181" t="s" s="0">
        <v>11</v>
      </c>
    </row>
    <row r="182" spans="1:21" x14ac:dyDescent="0.45">
      <c r="A182" s="9"/>
      <c r="B182" s="9"/>
      <c r="C182" s="9"/>
      <c r="D182" s="9"/>
      <c r="E182" s="12" t="str">
        <f t="shared" si="5"/>
        <v/>
      </c>
      <c r="F182" s="9"/>
      <c r="G182" s="9"/>
      <c r="H182" s="10"/>
      <c r="I182" s="15"/>
      <c r="J182" s="9"/>
      <c r="K182" s="9"/>
      <c r="L182" s="9"/>
      <c r="M182" s="14" t="str">
        <f>IF(A182="","",IF(H182&gt;0,H182,IFERROR(INDEX(Puestos!$C$2:$C$100,MATCH(F182,Puestos!$A$2:$A$100,0)),0)))</f>
        <v/>
      </c>
      <c r="N182" s="14" t="str">
        <f>IF(A182="","",IFERROR(INDEX(Puestos!$D$2:$D$100,MATCH(F182,Puestos!$A$2:$A$100,0)),0))</f>
        <v/>
      </c>
      <c r="O182" s="12" t="str">
        <f>IF(A182="","",IFERROR(INDEX(Puestos!$B$2:$B$100,MATCH(F182,Puestos!$A$2:$A$100,0)),""))</f>
        <v/>
      </c>
      <c r="P182" s="12" t="str">
        <f>IF(A182="","",IFERROR(INDEX(Plazas!$B$2:$B$100,MATCH(G182,Plazas!$A$2:$A$100,0)),""))</f>
        <v/>
      </c>
      <c r="Q182" t="s" s="0">
        <v>11</v>
      </c>
      <c r="R182" t="s" s="0">
        <v>11</v>
      </c>
      <c r="S182" t="s" s="0">
        <v>11</v>
      </c>
      <c r="T182" t="s" s="0">
        <v>11</v>
      </c>
      <c r="U182" t="s" s="0">
        <v>11</v>
      </c>
    </row>
    <row r="183" spans="1:21" x14ac:dyDescent="0.45">
      <c r="A183" s="9"/>
      <c r="B183" s="9"/>
      <c r="C183" s="9"/>
      <c r="D183" s="9"/>
      <c r="E183" s="12" t="str">
        <f t="shared" si="5"/>
        <v/>
      </c>
      <c r="F183" s="9"/>
      <c r="G183" s="9"/>
      <c r="H183" s="10"/>
      <c r="I183" s="15"/>
      <c r="J183" s="9"/>
      <c r="K183" s="9"/>
      <c r="L183" s="9"/>
      <c r="M183" s="14" t="str">
        <f>IF(A183="","",IF(H183&gt;0,H183,IFERROR(INDEX(Puestos!$C$2:$C$100,MATCH(F183,Puestos!$A$2:$A$100,0)),0)))</f>
        <v/>
      </c>
      <c r="N183" s="14" t="str">
        <f>IF(A183="","",IFERROR(INDEX(Puestos!$D$2:$D$100,MATCH(F183,Puestos!$A$2:$A$100,0)),0))</f>
        <v/>
      </c>
      <c r="O183" s="12" t="str">
        <f>IF(A183="","",IFERROR(INDEX(Puestos!$B$2:$B$100,MATCH(F183,Puestos!$A$2:$A$100,0)),""))</f>
        <v/>
      </c>
      <c r="P183" s="12" t="str">
        <f>IF(A183="","",IFERROR(INDEX(Plazas!$B$2:$B$100,MATCH(G183,Plazas!$A$2:$A$100,0)),""))</f>
        <v/>
      </c>
      <c r="Q183" t="s" s="0">
        <v>11</v>
      </c>
      <c r="R183" t="s" s="0">
        <v>11</v>
      </c>
      <c r="S183" t="s" s="0">
        <v>11</v>
      </c>
      <c r="T183" t="s" s="0">
        <v>11</v>
      </c>
      <c r="U183" t="s" s="0">
        <v>11</v>
      </c>
    </row>
    <row r="184" spans="1:21" x14ac:dyDescent="0.45">
      <c r="A184" s="9"/>
      <c r="B184" s="9"/>
      <c r="C184" s="9"/>
      <c r="D184" s="9"/>
      <c r="E184" s="12" t="str">
        <f t="shared" si="5"/>
        <v/>
      </c>
      <c r="F184" s="9"/>
      <c r="G184" s="9"/>
      <c r="H184" s="10"/>
      <c r="I184" s="15"/>
      <c r="J184" s="9"/>
      <c r="K184" s="9"/>
      <c r="L184" s="9"/>
      <c r="M184" s="14" t="str">
        <f>IF(A184="","",IF(H184&gt;0,H184,IFERROR(INDEX(Puestos!$C$2:$C$100,MATCH(F184,Puestos!$A$2:$A$100,0)),0)))</f>
        <v/>
      </c>
      <c r="N184" s="14" t="str">
        <f>IF(A184="","",IFERROR(INDEX(Puestos!$D$2:$D$100,MATCH(F184,Puestos!$A$2:$A$100,0)),0))</f>
        <v/>
      </c>
      <c r="O184" s="12" t="str">
        <f>IF(A184="","",IFERROR(INDEX(Puestos!$B$2:$B$100,MATCH(F184,Puestos!$A$2:$A$100,0)),""))</f>
        <v/>
      </c>
      <c r="P184" s="12" t="str">
        <f>IF(A184="","",IFERROR(INDEX(Plazas!$B$2:$B$100,MATCH(G184,Plazas!$A$2:$A$100,0)),""))</f>
        <v/>
      </c>
      <c r="Q184" t="s" s="0">
        <v>11</v>
      </c>
      <c r="R184" t="s" s="0">
        <v>11</v>
      </c>
      <c r="S184" t="s" s="0">
        <v>11</v>
      </c>
      <c r="T184" t="s" s="0">
        <v>11</v>
      </c>
      <c r="U184" t="s" s="0">
        <v>11</v>
      </c>
    </row>
    <row r="185" spans="1:21" x14ac:dyDescent="0.45">
      <c r="A185" s="9"/>
      <c r="B185" s="9"/>
      <c r="C185" s="9"/>
      <c r="D185" s="9"/>
      <c r="E185" s="12" t="str">
        <f t="shared" si="5"/>
        <v/>
      </c>
      <c r="F185" s="9"/>
      <c r="G185" s="9"/>
      <c r="H185" s="10"/>
      <c r="I185" s="15"/>
      <c r="J185" s="9"/>
      <c r="K185" s="9"/>
      <c r="L185" s="9"/>
      <c r="M185" s="14" t="str">
        <f>IF(A185="","",IF(H185&gt;0,H185,IFERROR(INDEX(Puestos!$C$2:$C$100,MATCH(F185,Puestos!$A$2:$A$100,0)),0)))</f>
        <v/>
      </c>
      <c r="N185" s="14" t="str">
        <f>IF(A185="","",IFERROR(INDEX(Puestos!$D$2:$D$100,MATCH(F185,Puestos!$A$2:$A$100,0)),0))</f>
        <v/>
      </c>
      <c r="O185" s="12" t="str">
        <f>IF(A185="","",IFERROR(INDEX(Puestos!$B$2:$B$100,MATCH(F185,Puestos!$A$2:$A$100,0)),""))</f>
        <v/>
      </c>
      <c r="P185" s="12" t="str">
        <f>IF(A185="","",IFERROR(INDEX(Plazas!$B$2:$B$100,MATCH(G185,Plazas!$A$2:$A$100,0)),""))</f>
        <v/>
      </c>
      <c r="Q185" t="s" s="0">
        <v>11</v>
      </c>
      <c r="R185" t="s" s="0">
        <v>11</v>
      </c>
      <c r="S185" t="s" s="0">
        <v>11</v>
      </c>
      <c r="T185" t="s" s="0">
        <v>11</v>
      </c>
      <c r="U185" t="s" s="0">
        <v>11</v>
      </c>
    </row>
    <row r="186" spans="1:21" x14ac:dyDescent="0.45">
      <c r="A186" s="9"/>
      <c r="B186" s="9"/>
      <c r="C186" s="9"/>
      <c r="D186" s="9"/>
      <c r="E186" s="12" t="str">
        <f t="shared" si="5"/>
        <v/>
      </c>
      <c r="F186" s="9"/>
      <c r="G186" s="9"/>
      <c r="H186" s="10"/>
      <c r="I186" s="15"/>
      <c r="J186" s="9"/>
      <c r="K186" s="9"/>
      <c r="L186" s="9"/>
      <c r="M186" s="14" t="str">
        <f>IF(A186="","",IF(H186&gt;0,H186,IFERROR(INDEX(Puestos!$C$2:$C$100,MATCH(F186,Puestos!$A$2:$A$100,0)),0)))</f>
        <v/>
      </c>
      <c r="N186" s="14" t="str">
        <f>IF(A186="","",IFERROR(INDEX(Puestos!$D$2:$D$100,MATCH(F186,Puestos!$A$2:$A$100,0)),0))</f>
        <v/>
      </c>
      <c r="O186" s="12" t="str">
        <f>IF(A186="","",IFERROR(INDEX(Puestos!$B$2:$B$100,MATCH(F186,Puestos!$A$2:$A$100,0)),""))</f>
        <v/>
      </c>
      <c r="P186" s="12" t="str">
        <f>IF(A186="","",IFERROR(INDEX(Plazas!$B$2:$B$100,MATCH(G186,Plazas!$A$2:$A$100,0)),""))</f>
        <v/>
      </c>
      <c r="Q186" t="s" s="0">
        <v>11</v>
      </c>
      <c r="R186" t="s" s="0">
        <v>11</v>
      </c>
      <c r="S186" t="s" s="0">
        <v>11</v>
      </c>
      <c r="T186" t="s" s="0">
        <v>11</v>
      </c>
      <c r="U186" t="s" s="0">
        <v>11</v>
      </c>
    </row>
    <row r="187" spans="1:21" x14ac:dyDescent="0.45">
      <c r="A187" s="9"/>
      <c r="B187" s="9"/>
      <c r="C187" s="9"/>
      <c r="D187" s="9"/>
      <c r="E187" s="12" t="str">
        <f t="shared" si="5"/>
        <v/>
      </c>
      <c r="F187" s="9"/>
      <c r="G187" s="9"/>
      <c r="H187" s="10"/>
      <c r="I187" s="15"/>
      <c r="J187" s="9"/>
      <c r="K187" s="9"/>
      <c r="L187" s="9"/>
      <c r="M187" s="14" t="str">
        <f>IF(A187="","",IF(H187&gt;0,H187,IFERROR(INDEX(Puestos!$C$2:$C$100,MATCH(F187,Puestos!$A$2:$A$100,0)),0)))</f>
        <v/>
      </c>
      <c r="N187" s="14" t="str">
        <f>IF(A187="","",IFERROR(INDEX(Puestos!$D$2:$D$100,MATCH(F187,Puestos!$A$2:$A$100,0)),0))</f>
        <v/>
      </c>
      <c r="O187" s="12" t="str">
        <f>IF(A187="","",IFERROR(INDEX(Puestos!$B$2:$B$100,MATCH(F187,Puestos!$A$2:$A$100,0)),""))</f>
        <v/>
      </c>
      <c r="P187" s="12" t="str">
        <f>IF(A187="","",IFERROR(INDEX(Plazas!$B$2:$B$100,MATCH(G187,Plazas!$A$2:$A$100,0)),""))</f>
        <v/>
      </c>
      <c r="Q187" t="s" s="0">
        <v>11</v>
      </c>
      <c r="R187" t="s" s="0">
        <v>11</v>
      </c>
      <c r="S187" t="s" s="0">
        <v>11</v>
      </c>
      <c r="T187" t="s" s="0">
        <v>11</v>
      </c>
      <c r="U187" t="s" s="0">
        <v>11</v>
      </c>
    </row>
    <row r="188" spans="1:21" x14ac:dyDescent="0.45">
      <c r="A188" s="9"/>
      <c r="B188" s="9"/>
      <c r="C188" s="9"/>
      <c r="D188" s="9"/>
      <c r="E188" s="12" t="str">
        <f t="shared" si="5"/>
        <v/>
      </c>
      <c r="F188" s="9"/>
      <c r="G188" s="9"/>
      <c r="H188" s="10"/>
      <c r="I188" s="15"/>
      <c r="J188" s="9"/>
      <c r="K188" s="9"/>
      <c r="L188" s="9"/>
      <c r="M188" s="14" t="str">
        <f>IF(A188="","",IF(H188&gt;0,H188,IFERROR(INDEX(Puestos!$C$2:$C$100,MATCH(F188,Puestos!$A$2:$A$100,0)),0)))</f>
        <v/>
      </c>
      <c r="N188" s="14" t="str">
        <f>IF(A188="","",IFERROR(INDEX(Puestos!$D$2:$D$100,MATCH(F188,Puestos!$A$2:$A$100,0)),0))</f>
        <v/>
      </c>
      <c r="O188" s="12" t="str">
        <f>IF(A188="","",IFERROR(INDEX(Puestos!$B$2:$B$100,MATCH(F188,Puestos!$A$2:$A$100,0)),""))</f>
        <v/>
      </c>
      <c r="P188" s="12" t="str">
        <f>IF(A188="","",IFERROR(INDEX(Plazas!$B$2:$B$100,MATCH(G188,Plazas!$A$2:$A$100,0)),""))</f>
        <v/>
      </c>
      <c r="Q188" t="s" s="0">
        <v>11</v>
      </c>
      <c r="R188" t="s" s="0">
        <v>11</v>
      </c>
      <c r="S188" t="s" s="0">
        <v>11</v>
      </c>
      <c r="T188" t="s" s="0">
        <v>11</v>
      </c>
      <c r="U188" t="s" s="0">
        <v>11</v>
      </c>
    </row>
    <row r="189" spans="1:21" x14ac:dyDescent="0.45">
      <c r="A189" s="9"/>
      <c r="B189" s="9"/>
      <c r="C189" s="9"/>
      <c r="D189" s="9"/>
      <c r="E189" s="12" t="str">
        <f t="shared" si="5"/>
        <v/>
      </c>
      <c r="F189" s="9"/>
      <c r="G189" s="9"/>
      <c r="H189" s="10"/>
      <c r="I189" s="15"/>
      <c r="J189" s="9"/>
      <c r="K189" s="9"/>
      <c r="L189" s="9"/>
      <c r="M189" s="14" t="str">
        <f>IF(A189="","",IF(H189&gt;0,H189,IFERROR(INDEX(Puestos!$C$2:$C$100,MATCH(F189,Puestos!$A$2:$A$100,0)),0)))</f>
        <v/>
      </c>
      <c r="N189" s="14" t="str">
        <f>IF(A189="","",IFERROR(INDEX(Puestos!$D$2:$D$100,MATCH(F189,Puestos!$A$2:$A$100,0)),0))</f>
        <v/>
      </c>
      <c r="O189" s="12" t="str">
        <f>IF(A189="","",IFERROR(INDEX(Puestos!$B$2:$B$100,MATCH(F189,Puestos!$A$2:$A$100,0)),""))</f>
        <v/>
      </c>
      <c r="P189" s="12" t="str">
        <f>IF(A189="","",IFERROR(INDEX(Plazas!$B$2:$B$100,MATCH(G189,Plazas!$A$2:$A$100,0)),""))</f>
        <v/>
      </c>
      <c r="Q189" t="s" s="0">
        <v>11</v>
      </c>
      <c r="R189" t="s" s="0">
        <v>11</v>
      </c>
      <c r="S189" t="s" s="0">
        <v>11</v>
      </c>
      <c r="T189" t="s" s="0">
        <v>11</v>
      </c>
      <c r="U189" t="s" s="0">
        <v>11</v>
      </c>
    </row>
    <row r="190" spans="1:21" x14ac:dyDescent="0.45">
      <c r="A190" s="9"/>
      <c r="B190" s="9"/>
      <c r="C190" s="9"/>
      <c r="D190" s="9"/>
      <c r="E190" s="12" t="str">
        <f t="shared" si="5"/>
        <v/>
      </c>
      <c r="F190" s="9"/>
      <c r="G190" s="9"/>
      <c r="H190" s="10"/>
      <c r="I190" s="15"/>
      <c r="J190" s="9"/>
      <c r="K190" s="9"/>
      <c r="L190" s="9"/>
      <c r="M190" s="14" t="str">
        <f>IF(A190="","",IF(H190&gt;0,H190,IFERROR(INDEX(Puestos!$C$2:$C$100,MATCH(F190,Puestos!$A$2:$A$100,0)),0)))</f>
        <v/>
      </c>
      <c r="N190" s="14" t="str">
        <f>IF(A190="","",IFERROR(INDEX(Puestos!$D$2:$D$100,MATCH(F190,Puestos!$A$2:$A$100,0)),0))</f>
        <v/>
      </c>
      <c r="O190" s="12" t="str">
        <f>IF(A190="","",IFERROR(INDEX(Puestos!$B$2:$B$100,MATCH(F190,Puestos!$A$2:$A$100,0)),""))</f>
        <v/>
      </c>
      <c r="P190" s="12" t="str">
        <f>IF(A190="","",IFERROR(INDEX(Plazas!$B$2:$B$100,MATCH(G190,Plazas!$A$2:$A$100,0)),""))</f>
        <v/>
      </c>
      <c r="Q190" t="s" s="0">
        <v>11</v>
      </c>
      <c r="R190" t="s" s="0">
        <v>11</v>
      </c>
      <c r="S190" t="s" s="0">
        <v>11</v>
      </c>
      <c r="T190" t="s" s="0">
        <v>11</v>
      </c>
      <c r="U190" t="s" s="0">
        <v>11</v>
      </c>
    </row>
    <row r="191" spans="1:21" x14ac:dyDescent="0.45">
      <c r="A191" s="9"/>
      <c r="B191" s="9"/>
      <c r="C191" s="9"/>
      <c r="D191" s="9"/>
      <c r="E191" s="12" t="str">
        <f t="shared" si="5"/>
        <v/>
      </c>
      <c r="F191" s="9"/>
      <c r="G191" s="9"/>
      <c r="H191" s="10"/>
      <c r="I191" s="15"/>
      <c r="J191" s="9"/>
      <c r="K191" s="9"/>
      <c r="L191" s="9"/>
      <c r="M191" s="14" t="str">
        <f>IF(A191="","",IF(H191&gt;0,H191,IFERROR(INDEX(Puestos!$C$2:$C$100,MATCH(F191,Puestos!$A$2:$A$100,0)),0)))</f>
        <v/>
      </c>
      <c r="N191" s="14" t="str">
        <f>IF(A191="","",IFERROR(INDEX(Puestos!$D$2:$D$100,MATCH(F191,Puestos!$A$2:$A$100,0)),0))</f>
        <v/>
      </c>
      <c r="O191" s="12" t="str">
        <f>IF(A191="","",IFERROR(INDEX(Puestos!$B$2:$B$100,MATCH(F191,Puestos!$A$2:$A$100,0)),""))</f>
        <v/>
      </c>
      <c r="P191" s="12" t="str">
        <f>IF(A191="","",IFERROR(INDEX(Plazas!$B$2:$B$100,MATCH(G191,Plazas!$A$2:$A$100,0)),""))</f>
        <v/>
      </c>
      <c r="Q191" t="s" s="0">
        <v>11</v>
      </c>
      <c r="R191" t="s" s="0">
        <v>11</v>
      </c>
      <c r="S191" t="s" s="0">
        <v>11</v>
      </c>
      <c r="T191" t="s" s="0">
        <v>11</v>
      </c>
      <c r="U191" t="s" s="0">
        <v>11</v>
      </c>
    </row>
    <row r="192" spans="1:21" x14ac:dyDescent="0.45">
      <c r="A192" s="9"/>
      <c r="B192" s="9"/>
      <c r="C192" s="9"/>
      <c r="D192" s="9"/>
      <c r="E192" s="12" t="str">
        <f t="shared" si="5"/>
        <v/>
      </c>
      <c r="F192" s="9"/>
      <c r="G192" s="9"/>
      <c r="H192" s="10"/>
      <c r="I192" s="15"/>
      <c r="J192" s="9"/>
      <c r="K192" s="9"/>
      <c r="L192" s="9"/>
      <c r="M192" s="14" t="str">
        <f>IF(A192="","",IF(H192&gt;0,H192,IFERROR(INDEX(Puestos!$C$2:$C$100,MATCH(F192,Puestos!$A$2:$A$100,0)),0)))</f>
        <v/>
      </c>
      <c r="N192" s="14" t="str">
        <f>IF(A192="","",IFERROR(INDEX(Puestos!$D$2:$D$100,MATCH(F192,Puestos!$A$2:$A$100,0)),0))</f>
        <v/>
      </c>
      <c r="O192" s="12" t="str">
        <f>IF(A192="","",IFERROR(INDEX(Puestos!$B$2:$B$100,MATCH(F192,Puestos!$A$2:$A$100,0)),""))</f>
        <v/>
      </c>
      <c r="P192" s="12" t="str">
        <f>IF(A192="","",IFERROR(INDEX(Plazas!$B$2:$B$100,MATCH(G192,Plazas!$A$2:$A$100,0)),""))</f>
        <v/>
      </c>
      <c r="Q192" t="s" s="0">
        <v>11</v>
      </c>
      <c r="R192" t="s" s="0">
        <v>11</v>
      </c>
      <c r="S192" t="s" s="0">
        <v>11</v>
      </c>
      <c r="T192" t="s" s="0">
        <v>11</v>
      </c>
      <c r="U192" t="s" s="0">
        <v>11</v>
      </c>
    </row>
    <row r="193" spans="1:21" x14ac:dyDescent="0.45">
      <c r="A193" s="9"/>
      <c r="B193" s="9"/>
      <c r="C193" s="9"/>
      <c r="D193" s="9"/>
      <c r="E193" s="12" t="str">
        <f t="shared" si="5"/>
        <v/>
      </c>
      <c r="F193" s="9"/>
      <c r="G193" s="9"/>
      <c r="H193" s="10"/>
      <c r="I193" s="15"/>
      <c r="J193" s="9"/>
      <c r="K193" s="9"/>
      <c r="L193" s="9"/>
      <c r="M193" s="14" t="str">
        <f>IF(A193="","",IF(H193&gt;0,H193,IFERROR(INDEX(Puestos!$C$2:$C$100,MATCH(F193,Puestos!$A$2:$A$100,0)),0)))</f>
        <v/>
      </c>
      <c r="N193" s="14" t="str">
        <f>IF(A193="","",IFERROR(INDEX(Puestos!$D$2:$D$100,MATCH(F193,Puestos!$A$2:$A$100,0)),0))</f>
        <v/>
      </c>
      <c r="O193" s="12" t="str">
        <f>IF(A193="","",IFERROR(INDEX(Puestos!$B$2:$B$100,MATCH(F193,Puestos!$A$2:$A$100,0)),""))</f>
        <v/>
      </c>
      <c r="P193" s="12" t="str">
        <f>IF(A193="","",IFERROR(INDEX(Plazas!$B$2:$B$100,MATCH(G193,Plazas!$A$2:$A$100,0)),""))</f>
        <v/>
      </c>
      <c r="Q193" t="s" s="0">
        <v>11</v>
      </c>
      <c r="R193" t="s" s="0">
        <v>11</v>
      </c>
      <c r="S193" t="s" s="0">
        <v>11</v>
      </c>
      <c r="T193" t="s" s="0">
        <v>11</v>
      </c>
      <c r="U193" t="s" s="0">
        <v>11</v>
      </c>
    </row>
    <row r="194" spans="1:21" x14ac:dyDescent="0.45">
      <c r="A194" s="9"/>
      <c r="B194" s="9"/>
      <c r="C194" s="9"/>
      <c r="D194" s="9"/>
      <c r="E194" s="12" t="str">
        <f t="shared" si="5"/>
        <v/>
      </c>
      <c r="F194" s="9"/>
      <c r="G194" s="9"/>
      <c r="H194" s="10"/>
      <c r="I194" s="15"/>
      <c r="J194" s="9"/>
      <c r="K194" s="9"/>
      <c r="L194" s="9"/>
      <c r="M194" s="14" t="str">
        <f>IF(A194="","",IF(H194&gt;0,H194,IFERROR(INDEX(Puestos!$C$2:$C$100,MATCH(F194,Puestos!$A$2:$A$100,0)),0)))</f>
        <v/>
      </c>
      <c r="N194" s="14" t="str">
        <f>IF(A194="","",IFERROR(INDEX(Puestos!$D$2:$D$100,MATCH(F194,Puestos!$A$2:$A$100,0)),0))</f>
        <v/>
      </c>
      <c r="O194" s="12" t="str">
        <f>IF(A194="","",IFERROR(INDEX(Puestos!$B$2:$B$100,MATCH(F194,Puestos!$A$2:$A$100,0)),""))</f>
        <v/>
      </c>
      <c r="P194" s="12" t="str">
        <f>IF(A194="","",IFERROR(INDEX(Plazas!$B$2:$B$100,MATCH(G194,Plazas!$A$2:$A$100,0)),""))</f>
        <v/>
      </c>
      <c r="Q194" t="s" s="0">
        <v>11</v>
      </c>
      <c r="R194" t="s" s="0">
        <v>11</v>
      </c>
      <c r="S194" t="s" s="0">
        <v>11</v>
      </c>
      <c r="T194" t="s" s="0">
        <v>11</v>
      </c>
      <c r="U194" t="s" s="0">
        <v>11</v>
      </c>
    </row>
    <row r="195" spans="1:21" x14ac:dyDescent="0.45">
      <c r="A195" s="9"/>
      <c r="B195" s="9"/>
      <c r="C195" s="9"/>
      <c r="D195" s="9"/>
      <c r="E195" s="12" t="str">
        <f t="shared" si="5"/>
        <v/>
      </c>
      <c r="F195" s="9"/>
      <c r="G195" s="9"/>
      <c r="H195" s="10"/>
      <c r="I195" s="15"/>
      <c r="J195" s="9"/>
      <c r="K195" s="9"/>
      <c r="L195" s="9"/>
      <c r="M195" s="14" t="str">
        <f>IF(A195="","",IF(H195&gt;0,H195,IFERROR(INDEX(Puestos!$C$2:$C$100,MATCH(F195,Puestos!$A$2:$A$100,0)),0)))</f>
        <v/>
      </c>
      <c r="N195" s="14" t="str">
        <f>IF(A195="","",IFERROR(INDEX(Puestos!$D$2:$D$100,MATCH(F195,Puestos!$A$2:$A$100,0)),0))</f>
        <v/>
      </c>
      <c r="O195" s="12" t="str">
        <f>IF(A195="","",IFERROR(INDEX(Puestos!$B$2:$B$100,MATCH(F195,Puestos!$A$2:$A$100,0)),""))</f>
        <v/>
      </c>
      <c r="P195" s="12" t="str">
        <f>IF(A195="","",IFERROR(INDEX(Plazas!$B$2:$B$100,MATCH(G195,Plazas!$A$2:$A$100,0)),""))</f>
        <v/>
      </c>
      <c r="Q195" t="s" s="0">
        <v>11</v>
      </c>
      <c r="R195" t="s" s="0">
        <v>11</v>
      </c>
      <c r="S195" t="s" s="0">
        <v>11</v>
      </c>
      <c r="T195" t="s" s="0">
        <v>11</v>
      </c>
      <c r="U195" t="s" s="0">
        <v>11</v>
      </c>
    </row>
    <row r="196" spans="1:21" x14ac:dyDescent="0.45">
      <c r="A196" s="9"/>
      <c r="B196" s="9"/>
      <c r="C196" s="9"/>
      <c r="D196" s="9"/>
      <c r="E196" s="12" t="str">
        <f t="shared" si="5"/>
        <v/>
      </c>
      <c r="F196" s="9"/>
      <c r="G196" s="9"/>
      <c r="H196" s="10"/>
      <c r="I196" s="15"/>
      <c r="J196" s="9"/>
      <c r="K196" s="9"/>
      <c r="L196" s="9"/>
      <c r="M196" s="14" t="str">
        <f>IF(A196="","",IF(H196&gt;0,H196,IFERROR(INDEX(Puestos!$C$2:$C$100,MATCH(F196,Puestos!$A$2:$A$100,0)),0)))</f>
        <v/>
      </c>
      <c r="N196" s="14" t="str">
        <f>IF(A196="","",IFERROR(INDEX(Puestos!$D$2:$D$100,MATCH(F196,Puestos!$A$2:$A$100,0)),0))</f>
        <v/>
      </c>
      <c r="O196" s="12" t="str">
        <f>IF(A196="","",IFERROR(INDEX(Puestos!$B$2:$B$100,MATCH(F196,Puestos!$A$2:$A$100,0)),""))</f>
        <v/>
      </c>
      <c r="P196" s="12" t="str">
        <f>IF(A196="","",IFERROR(INDEX(Plazas!$B$2:$B$100,MATCH(G196,Plazas!$A$2:$A$100,0)),""))</f>
        <v/>
      </c>
      <c r="Q196" t="s" s="0">
        <v>11</v>
      </c>
      <c r="R196" t="s" s="0">
        <v>11</v>
      </c>
      <c r="S196" t="s" s="0">
        <v>11</v>
      </c>
      <c r="T196" t="s" s="0">
        <v>11</v>
      </c>
      <c r="U196" t="s" s="0">
        <v>11</v>
      </c>
    </row>
    <row r="197" spans="1:21" x14ac:dyDescent="0.45">
      <c r="A197" s="9"/>
      <c r="B197" s="9"/>
      <c r="C197" s="9"/>
      <c r="D197" s="9"/>
      <c r="E197" s="12" t="str">
        <f t="shared" si="5"/>
        <v/>
      </c>
      <c r="F197" s="9"/>
      <c r="G197" s="9"/>
      <c r="H197" s="10"/>
      <c r="I197" s="15"/>
      <c r="J197" s="9"/>
      <c r="K197" s="9"/>
      <c r="L197" s="9"/>
      <c r="M197" s="14" t="str">
        <f>IF(A197="","",IF(H197&gt;0,H197,IFERROR(INDEX(Puestos!$C$2:$C$100,MATCH(F197,Puestos!$A$2:$A$100,0)),0)))</f>
        <v/>
      </c>
      <c r="N197" s="14" t="str">
        <f>IF(A197="","",IFERROR(INDEX(Puestos!$D$2:$D$100,MATCH(F197,Puestos!$A$2:$A$100,0)),0))</f>
        <v/>
      </c>
      <c r="O197" s="12" t="str">
        <f>IF(A197="","",IFERROR(INDEX(Puestos!$B$2:$B$100,MATCH(F197,Puestos!$A$2:$A$100,0)),""))</f>
        <v/>
      </c>
      <c r="P197" s="12" t="str">
        <f>IF(A197="","",IFERROR(INDEX(Plazas!$B$2:$B$100,MATCH(G197,Plazas!$A$2:$A$100,0)),""))</f>
        <v/>
      </c>
      <c r="Q197" t="s" s="0">
        <v>11</v>
      </c>
      <c r="R197" t="s" s="0">
        <v>11</v>
      </c>
      <c r="S197" t="s" s="0">
        <v>11</v>
      </c>
      <c r="T197" t="s" s="0">
        <v>11</v>
      </c>
      <c r="U197" t="s" s="0">
        <v>11</v>
      </c>
    </row>
    <row r="198" spans="1:21" x14ac:dyDescent="0.45">
      <c r="A198" s="9"/>
      <c r="B198" s="9"/>
      <c r="C198" s="9"/>
      <c r="D198" s="9"/>
      <c r="E198" s="12" t="str">
        <f t="shared" ref="E198:E229" si="6">IF(A198="","",TRIM(B198&amp;" "&amp;C198&amp;" "&amp;D198))</f>
        <v/>
      </c>
      <c r="F198" s="9"/>
      <c r="G198" s="9"/>
      <c r="H198" s="10"/>
      <c r="I198" s="15"/>
      <c r="J198" s="9"/>
      <c r="K198" s="9"/>
      <c r="L198" s="9"/>
      <c r="M198" s="14" t="str">
        <f>IF(A198="","",IF(H198&gt;0,H198,IFERROR(INDEX(Puestos!$C$2:$C$100,MATCH(F198,Puestos!$A$2:$A$100,0)),0)))</f>
        <v/>
      </c>
      <c r="N198" s="14" t="str">
        <f>IF(A198="","",IFERROR(INDEX(Puestos!$D$2:$D$100,MATCH(F198,Puestos!$A$2:$A$100,0)),0))</f>
        <v/>
      </c>
      <c r="O198" s="12" t="str">
        <f>IF(A198="","",IFERROR(INDEX(Puestos!$B$2:$B$100,MATCH(F198,Puestos!$A$2:$A$100,0)),""))</f>
        <v/>
      </c>
      <c r="P198" s="12" t="str">
        <f>IF(A198="","",IFERROR(INDEX(Plazas!$B$2:$B$100,MATCH(G198,Plazas!$A$2:$A$100,0)),""))</f>
        <v/>
      </c>
      <c r="Q198" t="s" s="0">
        <v>11</v>
      </c>
      <c r="R198" t="s" s="0">
        <v>11</v>
      </c>
      <c r="S198" t="s" s="0">
        <v>11</v>
      </c>
      <c r="T198" t="s" s="0">
        <v>11</v>
      </c>
      <c r="U198" t="s" s="0">
        <v>11</v>
      </c>
    </row>
    <row r="199" spans="1:21" x14ac:dyDescent="0.45">
      <c r="A199" s="9"/>
      <c r="B199" s="9"/>
      <c r="C199" s="9"/>
      <c r="D199" s="9"/>
      <c r="E199" s="12" t="str">
        <f t="shared" si="6"/>
        <v/>
      </c>
      <c r="F199" s="9"/>
      <c r="G199" s="9"/>
      <c r="H199" s="10"/>
      <c r="I199" s="15"/>
      <c r="J199" s="9"/>
      <c r="K199" s="9"/>
      <c r="L199" s="9"/>
      <c r="M199" s="14" t="str">
        <f>IF(A199="","",IF(H199&gt;0,H199,IFERROR(INDEX(Puestos!$C$2:$C$100,MATCH(F199,Puestos!$A$2:$A$100,0)),0)))</f>
        <v/>
      </c>
      <c r="N199" s="14" t="str">
        <f>IF(A199="","",IFERROR(INDEX(Puestos!$D$2:$D$100,MATCH(F199,Puestos!$A$2:$A$100,0)),0))</f>
        <v/>
      </c>
      <c r="O199" s="12" t="str">
        <f>IF(A199="","",IFERROR(INDEX(Puestos!$B$2:$B$100,MATCH(F199,Puestos!$A$2:$A$100,0)),""))</f>
        <v/>
      </c>
      <c r="P199" s="12" t="str">
        <f>IF(A199="","",IFERROR(INDEX(Plazas!$B$2:$B$100,MATCH(G199,Plazas!$A$2:$A$100,0)),""))</f>
        <v/>
      </c>
      <c r="Q199" t="s" s="0">
        <v>11</v>
      </c>
      <c r="R199" t="s" s="0">
        <v>11</v>
      </c>
      <c r="S199" t="s" s="0">
        <v>11</v>
      </c>
      <c r="T199" t="s" s="0">
        <v>11</v>
      </c>
      <c r="U199" t="s" s="0">
        <v>11</v>
      </c>
    </row>
    <row r="200" spans="1:21" x14ac:dyDescent="0.45">
      <c r="A200" s="9"/>
      <c r="B200" s="9"/>
      <c r="C200" s="9"/>
      <c r="D200" s="9"/>
      <c r="E200" s="12" t="str">
        <f t="shared" si="6"/>
        <v/>
      </c>
      <c r="F200" s="9"/>
      <c r="G200" s="9"/>
      <c r="H200" s="10"/>
      <c r="I200" s="15"/>
      <c r="J200" s="9"/>
      <c r="K200" s="9"/>
      <c r="L200" s="9"/>
      <c r="M200" s="14" t="str">
        <f>IF(A200="","",IF(H200&gt;0,H200,IFERROR(INDEX(Puestos!$C$2:$C$100,MATCH(F200,Puestos!$A$2:$A$100,0)),0)))</f>
        <v/>
      </c>
      <c r="N200" s="14" t="str">
        <f>IF(A200="","",IFERROR(INDEX(Puestos!$D$2:$D$100,MATCH(F200,Puestos!$A$2:$A$100,0)),0))</f>
        <v/>
      </c>
      <c r="O200" s="12" t="str">
        <f>IF(A200="","",IFERROR(INDEX(Puestos!$B$2:$B$100,MATCH(F200,Puestos!$A$2:$A$100,0)),""))</f>
        <v/>
      </c>
      <c r="P200" s="12" t="str">
        <f>IF(A200="","",IFERROR(INDEX(Plazas!$B$2:$B$100,MATCH(G200,Plazas!$A$2:$A$100,0)),""))</f>
        <v/>
      </c>
      <c r="Q200" t="s" s="0">
        <v>11</v>
      </c>
      <c r="R200" t="s" s="0">
        <v>11</v>
      </c>
      <c r="S200" t="s" s="0">
        <v>11</v>
      </c>
      <c r="T200" t="s" s="0">
        <v>11</v>
      </c>
      <c r="U200" t="s" s="0">
        <v>11</v>
      </c>
    </row>
    <row r="201" spans="1:21" x14ac:dyDescent="0.45">
      <c r="A201" s="9"/>
      <c r="B201" s="9"/>
      <c r="C201" s="9"/>
      <c r="D201" s="9"/>
      <c r="E201" s="12" t="str">
        <f t="shared" si="6"/>
        <v/>
      </c>
      <c r="F201" s="9"/>
      <c r="G201" s="9"/>
      <c r="H201" s="10"/>
      <c r="I201" s="15"/>
      <c r="J201" s="9"/>
      <c r="K201" s="9"/>
      <c r="L201" s="9"/>
      <c r="M201" s="14" t="str">
        <f>IF(A201="","",IF(H201&gt;0,H201,IFERROR(INDEX(Puestos!$C$2:$C$100,MATCH(F201,Puestos!$A$2:$A$100,0)),0)))</f>
        <v/>
      </c>
      <c r="N201" s="14" t="str">
        <f>IF(A201="","",IFERROR(INDEX(Puestos!$D$2:$D$100,MATCH(F201,Puestos!$A$2:$A$100,0)),0))</f>
        <v/>
      </c>
      <c r="O201" s="12" t="str">
        <f>IF(A201="","",IFERROR(INDEX(Puestos!$B$2:$B$100,MATCH(F201,Puestos!$A$2:$A$100,0)),""))</f>
        <v/>
      </c>
      <c r="P201" s="12" t="str">
        <f>IF(A201="","",IFERROR(INDEX(Plazas!$B$2:$B$100,MATCH(G201,Plazas!$A$2:$A$100,0)),""))</f>
        <v/>
      </c>
      <c r="Q201" t="s" s="0">
        <v>11</v>
      </c>
      <c r="R201" t="s" s="0">
        <v>11</v>
      </c>
      <c r="S201" t="s" s="0">
        <v>11</v>
      </c>
      <c r="T201" t="s" s="0">
        <v>11</v>
      </c>
      <c r="U201" t="s" s="0">
        <v>11</v>
      </c>
    </row>
  </sheetData>
  <dataValidations count="1">
    <dataValidation type="list" allowBlank="1" sqref="J2:J500" xr:uid="{00000000-0002-0000-0600-000000000000}">
      <formula1>"ACTIVO,INACTIVO"</formula1>
    </dataValidation>
  </dataValidations>
  <pageMargins left="0.7" right="0.7" top="0.75" bottom="0.75" header="0.3" footer="0.3"/>
  <drawing r:id="rId1"/>
  <legacyDrawing r:id="rId2"/>
  <extLst>
    <ext uri="{CCE6A557-97BC-4b89-ADB6-D9C93CAAB3DF}">
      <x14:dataValidations xmlns:xm="http://schemas.microsoft.com/office/excel/2006/main" count="2">
        <x14:dataValidation type="list" allowBlank="1" xr:uid="{00000000-0002-0000-0600-000001000000}">
          <x14:formula1>
            <xm:f>Puestos!$A$2:$A$100</xm:f>
          </x14:formula1>
          <xm:sqref>F2:F500</xm:sqref>
        </x14:dataValidation>
        <x14:dataValidation type="list" allowBlank="1" xr:uid="{00000000-0002-0000-0600-000002000000}">
          <x14:formula1>
            <xm:f>Plazas!$A$2:$A$100</xm:f>
          </x14:formula1>
          <xm:sqref>G2:G500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1"/>
  <sheetViews>
    <sheetView workbookViewId="0"/>
  </sheetViews>
  <sheetFormatPr baseColWidth="10" defaultColWidth="9.06640625" defaultRowHeight="14.25" x14ac:dyDescent="0.45"/>
  <cols>
    <col min="1" max="1" customWidth="true" width="14.0"/>
    <col min="2" max="2" customWidth="true" width="12.0"/>
    <col min="3" max="3" customWidth="true" width="16.0"/>
    <col min="4" max="4" customWidth="true" width="14.0"/>
    <col min="5" max="5" customWidth="true" width="28.0"/>
    <col min="6" max="6" customWidth="true" width="14.0"/>
    <col min="7" max="7" customWidth="true" width="28.0"/>
  </cols>
  <sheetData>
    <row r="1" spans="1:7" x14ac:dyDescent="0.45">
      <c r="A1" s="3" t="s">
        <v>198</v>
      </c>
      <c r="B1" s="3" t="s">
        <v>163</v>
      </c>
      <c r="C1" s="3" t="s">
        <v>199</v>
      </c>
      <c r="D1" s="3" t="s">
        <v>200</v>
      </c>
      <c r="E1" s="3" t="s">
        <v>136</v>
      </c>
      <c r="F1" s="3" t="s">
        <v>201</v>
      </c>
      <c r="G1" s="3" t="s">
        <v>202</v>
      </c>
    </row>
    <row r="2" spans="1:7" x14ac:dyDescent="0.45">
      <c r="A2" s="5" t="s">
        <v>88</v>
      </c>
      <c r="B2" s="5" t="s">
        <v>176</v>
      </c>
      <c r="C2" s="5" t="s">
        <v>203</v>
      </c>
      <c r="D2" s="5" t="s">
        <v>150</v>
      </c>
      <c r="E2" s="5" t="s">
        <v>151</v>
      </c>
      <c r="F2" s="8">
        <v>720</v>
      </c>
      <c r="G2" s="5" t="s">
        <v>204</v>
      </c>
    </row>
    <row r="3" spans="1:7" x14ac:dyDescent="0.45">
      <c r="A3" s="5" t="s">
        <v>88</v>
      </c>
      <c r="B3" s="5" t="s">
        <v>184</v>
      </c>
      <c r="C3" s="5" t="s">
        <v>203</v>
      </c>
      <c r="D3" s="5" t="s">
        <v>147</v>
      </c>
      <c r="E3" s="5" t="s">
        <v>148</v>
      </c>
      <c r="F3" s="8">
        <v>1500</v>
      </c>
      <c r="G3" s="5" t="s">
        <v>205</v>
      </c>
    </row>
    <row r="4" spans="1:7" x14ac:dyDescent="0.45">
      <c r="A4" s="5" t="s">
        <v>88</v>
      </c>
      <c r="B4" s="5" t="s">
        <v>191</v>
      </c>
      <c r="C4" s="5" t="s">
        <v>206</v>
      </c>
      <c r="D4" s="5" t="s">
        <v>161</v>
      </c>
      <c r="E4" s="5" t="s">
        <v>162</v>
      </c>
      <c r="F4" s="8">
        <v>900</v>
      </c>
      <c r="G4" s="5" t="s">
        <v>207</v>
      </c>
    </row>
    <row r="5" spans="1:7" x14ac:dyDescent="0.45">
      <c r="A5" s="5" t="s">
        <v>208</v>
      </c>
      <c r="B5" s="5" t="s">
        <v>176</v>
      </c>
      <c r="C5" s="5" t="s">
        <v>203</v>
      </c>
      <c r="D5" s="5" t="s">
        <v>147</v>
      </c>
      <c r="E5" s="5" t="s">
        <v>148</v>
      </c>
      <c r="F5" s="8">
        <v>800</v>
      </c>
      <c r="G5" s="5" t="s">
        <v>209</v>
      </c>
    </row>
    <row r="6" spans="1:7" x14ac:dyDescent="0.45">
      <c r="A6" s="9"/>
      <c r="B6" s="9"/>
      <c r="C6" s="9"/>
      <c r="D6" s="9"/>
      <c r="E6" s="9"/>
      <c r="F6" s="10"/>
      <c r="G6" s="9"/>
    </row>
    <row r="7" spans="1:7" x14ac:dyDescent="0.45">
      <c r="A7" s="9"/>
      <c r="B7" s="9"/>
      <c r="C7" s="9"/>
      <c r="D7" s="9"/>
      <c r="E7" s="9"/>
      <c r="F7" s="10"/>
      <c r="G7" s="9"/>
    </row>
    <row r="8" spans="1:7" x14ac:dyDescent="0.45">
      <c r="A8" s="9"/>
      <c r="B8" s="9"/>
      <c r="C8" s="9"/>
      <c r="D8" s="9"/>
      <c r="E8" s="9"/>
      <c r="F8" s="10"/>
      <c r="G8" s="9"/>
    </row>
    <row r="9" spans="1:7" x14ac:dyDescent="0.45">
      <c r="A9" s="9"/>
      <c r="B9" s="9"/>
      <c r="C9" s="9"/>
      <c r="D9" s="9"/>
      <c r="E9" s="9"/>
      <c r="F9" s="10"/>
      <c r="G9" s="9"/>
    </row>
    <row r="10" spans="1:7" x14ac:dyDescent="0.45">
      <c r="A10" s="9"/>
      <c r="B10" s="9"/>
      <c r="C10" s="9"/>
      <c r="D10" s="9"/>
      <c r="E10" s="9"/>
      <c r="F10" s="10"/>
      <c r="G10" s="9"/>
    </row>
    <row r="11" spans="1:7" x14ac:dyDescent="0.45">
      <c r="A11" s="9"/>
      <c r="B11" s="9"/>
      <c r="C11" s="9"/>
      <c r="D11" s="9"/>
      <c r="E11" s="9"/>
      <c r="F11" s="10"/>
      <c r="G11" s="9"/>
    </row>
    <row r="12" spans="1:7" x14ac:dyDescent="0.45">
      <c r="A12" s="9"/>
      <c r="B12" s="9"/>
      <c r="C12" s="9"/>
      <c r="D12" s="9"/>
      <c r="E12" s="9"/>
      <c r="F12" s="10"/>
      <c r="G12" s="9"/>
    </row>
    <row r="13" spans="1:7" x14ac:dyDescent="0.45">
      <c r="A13" s="9"/>
      <c r="B13" s="9"/>
      <c r="C13" s="9"/>
      <c r="D13" s="9"/>
      <c r="E13" s="9"/>
      <c r="F13" s="10"/>
      <c r="G13" s="9"/>
    </row>
    <row r="14" spans="1:7" x14ac:dyDescent="0.45">
      <c r="A14" s="9"/>
      <c r="B14" s="9"/>
      <c r="C14" s="9"/>
      <c r="D14" s="9"/>
      <c r="E14" s="9"/>
      <c r="F14" s="10"/>
      <c r="G14" s="9"/>
    </row>
    <row r="15" spans="1:7" x14ac:dyDescent="0.45">
      <c r="A15" s="9"/>
      <c r="B15" s="9"/>
      <c r="C15" s="9"/>
      <c r="D15" s="9"/>
      <c r="E15" s="9"/>
      <c r="F15" s="10"/>
      <c r="G15" s="9"/>
    </row>
    <row r="16" spans="1:7" x14ac:dyDescent="0.45">
      <c r="A16" s="9"/>
      <c r="B16" s="9"/>
      <c r="C16" s="9"/>
      <c r="D16" s="9"/>
      <c r="E16" s="9"/>
      <c r="F16" s="10"/>
      <c r="G16" s="9"/>
    </row>
    <row r="17" spans="1:7" x14ac:dyDescent="0.45">
      <c r="A17" s="9"/>
      <c r="B17" s="9"/>
      <c r="C17" s="9"/>
      <c r="D17" s="9"/>
      <c r="E17" s="9"/>
      <c r="F17" s="10"/>
      <c r="G17" s="9"/>
    </row>
    <row r="18" spans="1:7" x14ac:dyDescent="0.45">
      <c r="A18" s="9"/>
      <c r="B18" s="9"/>
      <c r="C18" s="9"/>
      <c r="D18" s="9"/>
      <c r="E18" s="9"/>
      <c r="F18" s="10"/>
      <c r="G18" s="9"/>
    </row>
    <row r="19" spans="1:7" x14ac:dyDescent="0.45">
      <c r="A19" s="9"/>
      <c r="B19" s="9"/>
      <c r="C19" s="9"/>
      <c r="D19" s="9"/>
      <c r="E19" s="9"/>
      <c r="F19" s="10"/>
      <c r="G19" s="9"/>
    </row>
    <row r="20" spans="1:7" x14ac:dyDescent="0.45">
      <c r="A20" s="9"/>
      <c r="B20" s="9"/>
      <c r="C20" s="9"/>
      <c r="D20" s="9"/>
      <c r="E20" s="9"/>
      <c r="F20" s="10"/>
      <c r="G20" s="9"/>
    </row>
    <row r="21" spans="1:7" x14ac:dyDescent="0.45">
      <c r="A21" s="9"/>
      <c r="B21" s="9"/>
      <c r="C21" s="9"/>
      <c r="D21" s="9"/>
      <c r="E21" s="9"/>
      <c r="F21" s="10"/>
      <c r="G21" s="9"/>
    </row>
    <row r="22" spans="1:7" x14ac:dyDescent="0.45">
      <c r="A22" s="9"/>
      <c r="B22" s="9"/>
      <c r="C22" s="9"/>
      <c r="D22" s="9"/>
      <c r="E22" s="9"/>
      <c r="F22" s="10"/>
      <c r="G22" s="9"/>
    </row>
    <row r="23" spans="1:7" x14ac:dyDescent="0.45">
      <c r="A23" s="9"/>
      <c r="B23" s="9"/>
      <c r="C23" s="9"/>
      <c r="D23" s="9"/>
      <c r="E23" s="9"/>
      <c r="F23" s="10"/>
      <c r="G23" s="9"/>
    </row>
    <row r="24" spans="1:7" x14ac:dyDescent="0.45">
      <c r="A24" s="9"/>
      <c r="B24" s="9"/>
      <c r="C24" s="9"/>
      <c r="D24" s="9"/>
      <c r="E24" s="9"/>
      <c r="F24" s="10"/>
      <c r="G24" s="9"/>
    </row>
    <row r="25" spans="1:7" x14ac:dyDescent="0.45">
      <c r="A25" s="9"/>
      <c r="B25" s="9"/>
      <c r="C25" s="9"/>
      <c r="D25" s="9"/>
      <c r="E25" s="9"/>
      <c r="F25" s="10"/>
      <c r="G25" s="9"/>
    </row>
    <row r="26" spans="1:7" x14ac:dyDescent="0.45">
      <c r="A26" s="9"/>
      <c r="B26" s="9"/>
      <c r="C26" s="9"/>
      <c r="D26" s="9"/>
      <c r="E26" s="9"/>
      <c r="F26" s="10"/>
      <c r="G26" s="9"/>
    </row>
    <row r="27" spans="1:7" x14ac:dyDescent="0.45">
      <c r="A27" s="9"/>
      <c r="B27" s="9"/>
      <c r="C27" s="9"/>
      <c r="D27" s="9"/>
      <c r="E27" s="9"/>
      <c r="F27" s="10"/>
      <c r="G27" s="9"/>
    </row>
    <row r="28" spans="1:7" x14ac:dyDescent="0.45">
      <c r="A28" s="9"/>
      <c r="B28" s="9"/>
      <c r="C28" s="9"/>
      <c r="D28" s="9"/>
      <c r="E28" s="9"/>
      <c r="F28" s="10"/>
      <c r="G28" s="9"/>
    </row>
    <row r="29" spans="1:7" x14ac:dyDescent="0.45">
      <c r="A29" s="9"/>
      <c r="B29" s="9"/>
      <c r="C29" s="9"/>
      <c r="D29" s="9"/>
      <c r="E29" s="9"/>
      <c r="F29" s="10"/>
      <c r="G29" s="9"/>
    </row>
    <row r="30" spans="1:7" x14ac:dyDescent="0.45">
      <c r="A30" s="9"/>
      <c r="B30" s="9"/>
      <c r="C30" s="9"/>
      <c r="D30" s="9"/>
      <c r="E30" s="9"/>
      <c r="F30" s="10"/>
      <c r="G30" s="9"/>
    </row>
    <row r="31" spans="1:7" x14ac:dyDescent="0.45">
      <c r="A31" s="9"/>
      <c r="B31" s="9"/>
      <c r="C31" s="9"/>
      <c r="D31" s="9"/>
      <c r="E31" s="9"/>
      <c r="F31" s="10"/>
      <c r="G31" s="9"/>
    </row>
    <row r="32" spans="1:7" x14ac:dyDescent="0.45">
      <c r="A32" s="9"/>
      <c r="B32" s="9"/>
      <c r="C32" s="9"/>
      <c r="D32" s="9"/>
      <c r="E32" s="9"/>
      <c r="F32" s="10"/>
      <c r="G32" s="9"/>
    </row>
    <row r="33" spans="1:7" x14ac:dyDescent="0.45">
      <c r="A33" s="9"/>
      <c r="B33" s="9"/>
      <c r="C33" s="9"/>
      <c r="D33" s="9"/>
      <c r="E33" s="9"/>
      <c r="F33" s="10"/>
      <c r="G33" s="9"/>
    </row>
    <row r="34" spans="1:7" x14ac:dyDescent="0.45">
      <c r="A34" s="9"/>
      <c r="B34" s="9"/>
      <c r="C34" s="9"/>
      <c r="D34" s="9"/>
      <c r="E34" s="9"/>
      <c r="F34" s="10"/>
      <c r="G34" s="9"/>
    </row>
    <row r="35" spans="1:7" x14ac:dyDescent="0.45">
      <c r="A35" s="9"/>
      <c r="B35" s="9"/>
      <c r="C35" s="9"/>
      <c r="D35" s="9"/>
      <c r="E35" s="9"/>
      <c r="F35" s="10"/>
      <c r="G35" s="9"/>
    </row>
    <row r="36" spans="1:7" x14ac:dyDescent="0.45">
      <c r="A36" s="9"/>
      <c r="B36" s="9"/>
      <c r="C36" s="9"/>
      <c r="D36" s="9"/>
      <c r="E36" s="9"/>
      <c r="F36" s="10"/>
      <c r="G36" s="9"/>
    </row>
    <row r="37" spans="1:7" x14ac:dyDescent="0.45">
      <c r="A37" s="9"/>
      <c r="B37" s="9"/>
      <c r="C37" s="9"/>
      <c r="D37" s="9"/>
      <c r="E37" s="9"/>
      <c r="F37" s="10"/>
      <c r="G37" s="9"/>
    </row>
    <row r="38" spans="1:7" x14ac:dyDescent="0.45">
      <c r="A38" s="9"/>
      <c r="B38" s="9"/>
      <c r="C38" s="9"/>
      <c r="D38" s="9"/>
      <c r="E38" s="9"/>
      <c r="F38" s="10"/>
      <c r="G38" s="9"/>
    </row>
    <row r="39" spans="1:7" x14ac:dyDescent="0.45">
      <c r="A39" s="9"/>
      <c r="B39" s="9"/>
      <c r="C39" s="9"/>
      <c r="D39" s="9"/>
      <c r="E39" s="9"/>
      <c r="F39" s="10"/>
      <c r="G39" s="9"/>
    </row>
    <row r="40" spans="1:7" x14ac:dyDescent="0.45">
      <c r="A40" s="9"/>
      <c r="B40" s="9"/>
      <c r="C40" s="9"/>
      <c r="D40" s="9"/>
      <c r="E40" s="9"/>
      <c r="F40" s="10"/>
      <c r="G40" s="9"/>
    </row>
    <row r="41" spans="1:7" x14ac:dyDescent="0.45">
      <c r="A41" s="9"/>
      <c r="B41" s="9"/>
      <c r="C41" s="9"/>
      <c r="D41" s="9"/>
      <c r="E41" s="9"/>
      <c r="F41" s="10"/>
      <c r="G41" s="9"/>
    </row>
    <row r="42" spans="1:7" x14ac:dyDescent="0.45">
      <c r="A42" s="9"/>
      <c r="B42" s="9"/>
      <c r="C42" s="9"/>
      <c r="D42" s="9"/>
      <c r="E42" s="9"/>
      <c r="F42" s="10"/>
      <c r="G42" s="9"/>
    </row>
    <row r="43" spans="1:7" x14ac:dyDescent="0.45">
      <c r="A43" s="9"/>
      <c r="B43" s="9"/>
      <c r="C43" s="9"/>
      <c r="D43" s="9"/>
      <c r="E43" s="9"/>
      <c r="F43" s="10"/>
      <c r="G43" s="9"/>
    </row>
    <row r="44" spans="1:7" x14ac:dyDescent="0.45">
      <c r="A44" s="9"/>
      <c r="B44" s="9"/>
      <c r="C44" s="9"/>
      <c r="D44" s="9"/>
      <c r="E44" s="9"/>
      <c r="F44" s="10"/>
      <c r="G44" s="9"/>
    </row>
    <row r="45" spans="1:7" x14ac:dyDescent="0.45">
      <c r="A45" s="9"/>
      <c r="B45" s="9"/>
      <c r="C45" s="9"/>
      <c r="D45" s="9"/>
      <c r="E45" s="9"/>
      <c r="F45" s="10"/>
      <c r="G45" s="9"/>
    </row>
    <row r="46" spans="1:7" x14ac:dyDescent="0.45">
      <c r="A46" s="9"/>
      <c r="B46" s="9"/>
      <c r="C46" s="9"/>
      <c r="D46" s="9"/>
      <c r="E46" s="9"/>
      <c r="F46" s="10"/>
      <c r="G46" s="9"/>
    </row>
    <row r="47" spans="1:7" x14ac:dyDescent="0.45">
      <c r="A47" s="9"/>
      <c r="B47" s="9"/>
      <c r="C47" s="9"/>
      <c r="D47" s="9"/>
      <c r="E47" s="9"/>
      <c r="F47" s="10"/>
      <c r="G47" s="9"/>
    </row>
    <row r="48" spans="1:7" x14ac:dyDescent="0.45">
      <c r="A48" s="9"/>
      <c r="B48" s="9"/>
      <c r="C48" s="9"/>
      <c r="D48" s="9"/>
      <c r="E48" s="9"/>
      <c r="F48" s="10"/>
      <c r="G48" s="9"/>
    </row>
    <row r="49" spans="1:7" x14ac:dyDescent="0.45">
      <c r="A49" s="9"/>
      <c r="B49" s="9"/>
      <c r="C49" s="9"/>
      <c r="D49" s="9"/>
      <c r="E49" s="9"/>
      <c r="F49" s="10"/>
      <c r="G49" s="9"/>
    </row>
    <row r="50" spans="1:7" x14ac:dyDescent="0.45">
      <c r="A50" s="9"/>
      <c r="B50" s="9"/>
      <c r="C50" s="9"/>
      <c r="D50" s="9"/>
      <c r="E50" s="9"/>
      <c r="F50" s="10"/>
      <c r="G50" s="9"/>
    </row>
    <row r="51" spans="1:7" x14ac:dyDescent="0.45">
      <c r="A51" s="9"/>
      <c r="B51" s="9"/>
      <c r="C51" s="9"/>
      <c r="D51" s="9"/>
      <c r="E51" s="9"/>
      <c r="F51" s="10"/>
      <c r="G51" s="9"/>
    </row>
    <row r="52" spans="1:7" x14ac:dyDescent="0.45">
      <c r="A52" s="9"/>
      <c r="B52" s="9"/>
      <c r="C52" s="9"/>
      <c r="D52" s="9"/>
      <c r="E52" s="9"/>
      <c r="F52" s="10"/>
      <c r="G52" s="9"/>
    </row>
    <row r="53" spans="1:7" x14ac:dyDescent="0.45">
      <c r="A53" s="9"/>
      <c r="B53" s="9"/>
      <c r="C53" s="9"/>
      <c r="D53" s="9"/>
      <c r="E53" s="9"/>
      <c r="F53" s="10"/>
      <c r="G53" s="9"/>
    </row>
    <row r="54" spans="1:7" x14ac:dyDescent="0.45">
      <c r="A54" s="9"/>
      <c r="B54" s="9"/>
      <c r="C54" s="9"/>
      <c r="D54" s="9"/>
      <c r="E54" s="9"/>
      <c r="F54" s="10"/>
      <c r="G54" s="9"/>
    </row>
    <row r="55" spans="1:7" x14ac:dyDescent="0.45">
      <c r="A55" s="9"/>
      <c r="B55" s="9"/>
      <c r="C55" s="9"/>
      <c r="D55" s="9"/>
      <c r="E55" s="9"/>
      <c r="F55" s="10"/>
      <c r="G55" s="9"/>
    </row>
    <row r="56" spans="1:7" x14ac:dyDescent="0.45">
      <c r="A56" s="9"/>
      <c r="B56" s="9"/>
      <c r="C56" s="9"/>
      <c r="D56" s="9"/>
      <c r="E56" s="9"/>
      <c r="F56" s="10"/>
      <c r="G56" s="9"/>
    </row>
    <row r="57" spans="1:7" x14ac:dyDescent="0.45">
      <c r="A57" s="9"/>
      <c r="B57" s="9"/>
      <c r="C57" s="9"/>
      <c r="D57" s="9"/>
      <c r="E57" s="9"/>
      <c r="F57" s="10"/>
      <c r="G57" s="9"/>
    </row>
    <row r="58" spans="1:7" x14ac:dyDescent="0.45">
      <c r="A58" s="9"/>
      <c r="B58" s="9"/>
      <c r="C58" s="9"/>
      <c r="D58" s="9"/>
      <c r="E58" s="9"/>
      <c r="F58" s="10"/>
      <c r="G58" s="9"/>
    </row>
    <row r="59" spans="1:7" x14ac:dyDescent="0.45">
      <c r="A59" s="9"/>
      <c r="B59" s="9"/>
      <c r="C59" s="9"/>
      <c r="D59" s="9"/>
      <c r="E59" s="9"/>
      <c r="F59" s="10"/>
      <c r="G59" s="9"/>
    </row>
    <row r="60" spans="1:7" x14ac:dyDescent="0.45">
      <c r="A60" s="9"/>
      <c r="B60" s="9"/>
      <c r="C60" s="9"/>
      <c r="D60" s="9"/>
      <c r="E60" s="9"/>
      <c r="F60" s="10"/>
      <c r="G60" s="9"/>
    </row>
    <row r="61" spans="1:7" x14ac:dyDescent="0.45">
      <c r="A61" s="9"/>
      <c r="B61" s="9"/>
      <c r="C61" s="9"/>
      <c r="D61" s="9"/>
      <c r="E61" s="9"/>
      <c r="F61" s="10"/>
      <c r="G61" s="9"/>
    </row>
    <row r="62" spans="1:7" x14ac:dyDescent="0.45">
      <c r="A62" s="9"/>
      <c r="B62" s="9"/>
      <c r="C62" s="9"/>
      <c r="D62" s="9"/>
      <c r="E62" s="9"/>
      <c r="F62" s="10"/>
      <c r="G62" s="9"/>
    </row>
    <row r="63" spans="1:7" x14ac:dyDescent="0.45">
      <c r="A63" s="9"/>
      <c r="B63" s="9"/>
      <c r="C63" s="9"/>
      <c r="D63" s="9"/>
      <c r="E63" s="9"/>
      <c r="F63" s="10"/>
      <c r="G63" s="9"/>
    </row>
    <row r="64" spans="1:7" x14ac:dyDescent="0.45">
      <c r="A64" s="9"/>
      <c r="B64" s="9"/>
      <c r="C64" s="9"/>
      <c r="D64" s="9"/>
      <c r="E64" s="9"/>
      <c r="F64" s="10"/>
      <c r="G64" s="9"/>
    </row>
    <row r="65" spans="1:7" x14ac:dyDescent="0.45">
      <c r="A65" s="9"/>
      <c r="B65" s="9"/>
      <c r="C65" s="9"/>
      <c r="D65" s="9"/>
      <c r="E65" s="9"/>
      <c r="F65" s="10"/>
      <c r="G65" s="9"/>
    </row>
    <row r="66" spans="1:7" x14ac:dyDescent="0.45">
      <c r="A66" s="9"/>
      <c r="B66" s="9"/>
      <c r="C66" s="9"/>
      <c r="D66" s="9"/>
      <c r="E66" s="9"/>
      <c r="F66" s="10"/>
      <c r="G66" s="9"/>
    </row>
    <row r="67" spans="1:7" x14ac:dyDescent="0.45">
      <c r="A67" s="9"/>
      <c r="B67" s="9"/>
      <c r="C67" s="9"/>
      <c r="D67" s="9"/>
      <c r="E67" s="9"/>
      <c r="F67" s="10"/>
      <c r="G67" s="9"/>
    </row>
    <row r="68" spans="1:7" x14ac:dyDescent="0.45">
      <c r="A68" s="9"/>
      <c r="B68" s="9"/>
      <c r="C68" s="9"/>
      <c r="D68" s="9"/>
      <c r="E68" s="9"/>
      <c r="F68" s="10"/>
      <c r="G68" s="9"/>
    </row>
    <row r="69" spans="1:7" x14ac:dyDescent="0.45">
      <c r="A69" s="9"/>
      <c r="B69" s="9"/>
      <c r="C69" s="9"/>
      <c r="D69" s="9"/>
      <c r="E69" s="9"/>
      <c r="F69" s="10"/>
      <c r="G69" s="9"/>
    </row>
    <row r="70" spans="1:7" x14ac:dyDescent="0.45">
      <c r="A70" s="9"/>
      <c r="B70" s="9"/>
      <c r="C70" s="9"/>
      <c r="D70" s="9"/>
      <c r="E70" s="9"/>
      <c r="F70" s="10"/>
      <c r="G70" s="9"/>
    </row>
    <row r="71" spans="1:7" x14ac:dyDescent="0.45">
      <c r="A71" s="9"/>
      <c r="B71" s="9"/>
      <c r="C71" s="9"/>
      <c r="D71" s="9"/>
      <c r="E71" s="9"/>
      <c r="F71" s="10"/>
      <c r="G71" s="9"/>
    </row>
    <row r="72" spans="1:7" x14ac:dyDescent="0.45">
      <c r="A72" s="9"/>
      <c r="B72" s="9"/>
      <c r="C72" s="9"/>
      <c r="D72" s="9"/>
      <c r="E72" s="9"/>
      <c r="F72" s="10"/>
      <c r="G72" s="9"/>
    </row>
    <row r="73" spans="1:7" x14ac:dyDescent="0.45">
      <c r="A73" s="9"/>
      <c r="B73" s="9"/>
      <c r="C73" s="9"/>
      <c r="D73" s="9"/>
      <c r="E73" s="9"/>
      <c r="F73" s="10"/>
      <c r="G73" s="9"/>
    </row>
    <row r="74" spans="1:7" x14ac:dyDescent="0.45">
      <c r="A74" s="9"/>
      <c r="B74" s="9"/>
      <c r="C74" s="9"/>
      <c r="D74" s="9"/>
      <c r="E74" s="9"/>
      <c r="F74" s="10"/>
      <c r="G74" s="9"/>
    </row>
    <row r="75" spans="1:7" x14ac:dyDescent="0.45">
      <c r="A75" s="9"/>
      <c r="B75" s="9"/>
      <c r="C75" s="9"/>
      <c r="D75" s="9"/>
      <c r="E75" s="9"/>
      <c r="F75" s="10"/>
      <c r="G75" s="9"/>
    </row>
    <row r="76" spans="1:7" x14ac:dyDescent="0.45">
      <c r="A76" s="9"/>
      <c r="B76" s="9"/>
      <c r="C76" s="9"/>
      <c r="D76" s="9"/>
      <c r="E76" s="9"/>
      <c r="F76" s="10"/>
      <c r="G76" s="9"/>
    </row>
    <row r="77" spans="1:7" x14ac:dyDescent="0.45">
      <c r="A77" s="9"/>
      <c r="B77" s="9"/>
      <c r="C77" s="9"/>
      <c r="D77" s="9"/>
      <c r="E77" s="9"/>
      <c r="F77" s="10"/>
      <c r="G77" s="9"/>
    </row>
    <row r="78" spans="1:7" x14ac:dyDescent="0.45">
      <c r="A78" s="9"/>
      <c r="B78" s="9"/>
      <c r="C78" s="9"/>
      <c r="D78" s="9"/>
      <c r="E78" s="9"/>
      <c r="F78" s="10"/>
      <c r="G78" s="9"/>
    </row>
    <row r="79" spans="1:7" x14ac:dyDescent="0.45">
      <c r="A79" s="9"/>
      <c r="B79" s="9"/>
      <c r="C79" s="9"/>
      <c r="D79" s="9"/>
      <c r="E79" s="9"/>
      <c r="F79" s="10"/>
      <c r="G79" s="9"/>
    </row>
    <row r="80" spans="1:7" x14ac:dyDescent="0.45">
      <c r="A80" s="9"/>
      <c r="B80" s="9"/>
      <c r="C80" s="9"/>
      <c r="D80" s="9"/>
      <c r="E80" s="9"/>
      <c r="F80" s="10"/>
      <c r="G80" s="9"/>
    </row>
    <row r="81" spans="1:7" x14ac:dyDescent="0.45">
      <c r="A81" s="9"/>
      <c r="B81" s="9"/>
      <c r="C81" s="9"/>
      <c r="D81" s="9"/>
      <c r="E81" s="9"/>
      <c r="F81" s="10"/>
      <c r="G81" s="9"/>
    </row>
    <row r="82" spans="1:7" x14ac:dyDescent="0.45">
      <c r="A82" s="9"/>
      <c r="B82" s="9"/>
      <c r="C82" s="9"/>
      <c r="D82" s="9"/>
      <c r="E82" s="9"/>
      <c r="F82" s="10"/>
      <c r="G82" s="9"/>
    </row>
    <row r="83" spans="1:7" x14ac:dyDescent="0.45">
      <c r="A83" s="9"/>
      <c r="B83" s="9"/>
      <c r="C83" s="9"/>
      <c r="D83" s="9"/>
      <c r="E83" s="9"/>
      <c r="F83" s="10"/>
      <c r="G83" s="9"/>
    </row>
    <row r="84" spans="1:7" x14ac:dyDescent="0.45">
      <c r="A84" s="9"/>
      <c r="B84" s="9"/>
      <c r="C84" s="9"/>
      <c r="D84" s="9"/>
      <c r="E84" s="9"/>
      <c r="F84" s="10"/>
      <c r="G84" s="9"/>
    </row>
    <row r="85" spans="1:7" x14ac:dyDescent="0.45">
      <c r="A85" s="9"/>
      <c r="B85" s="9"/>
      <c r="C85" s="9"/>
      <c r="D85" s="9"/>
      <c r="E85" s="9"/>
      <c r="F85" s="10"/>
      <c r="G85" s="9"/>
    </row>
    <row r="86" spans="1:7" x14ac:dyDescent="0.45">
      <c r="A86" s="9"/>
      <c r="B86" s="9"/>
      <c r="C86" s="9"/>
      <c r="D86" s="9"/>
      <c r="E86" s="9"/>
      <c r="F86" s="10"/>
      <c r="G86" s="9"/>
    </row>
    <row r="87" spans="1:7" x14ac:dyDescent="0.45">
      <c r="A87" s="9"/>
      <c r="B87" s="9"/>
      <c r="C87" s="9"/>
      <c r="D87" s="9"/>
      <c r="E87" s="9"/>
      <c r="F87" s="10"/>
      <c r="G87" s="9"/>
    </row>
    <row r="88" spans="1:7" x14ac:dyDescent="0.45">
      <c r="A88" s="9"/>
      <c r="B88" s="9"/>
      <c r="C88" s="9"/>
      <c r="D88" s="9"/>
      <c r="E88" s="9"/>
      <c r="F88" s="10"/>
      <c r="G88" s="9"/>
    </row>
    <row r="89" spans="1:7" x14ac:dyDescent="0.45">
      <c r="A89" s="9"/>
      <c r="B89" s="9"/>
      <c r="C89" s="9"/>
      <c r="D89" s="9"/>
      <c r="E89" s="9"/>
      <c r="F89" s="10"/>
      <c r="G89" s="9"/>
    </row>
    <row r="90" spans="1:7" x14ac:dyDescent="0.45">
      <c r="A90" s="9"/>
      <c r="B90" s="9"/>
      <c r="C90" s="9"/>
      <c r="D90" s="9"/>
      <c r="E90" s="9"/>
      <c r="F90" s="10"/>
      <c r="G90" s="9"/>
    </row>
    <row r="91" spans="1:7" x14ac:dyDescent="0.45">
      <c r="A91" s="9"/>
      <c r="B91" s="9"/>
      <c r="C91" s="9"/>
      <c r="D91" s="9"/>
      <c r="E91" s="9"/>
      <c r="F91" s="10"/>
      <c r="G91" s="9"/>
    </row>
    <row r="92" spans="1:7" x14ac:dyDescent="0.45">
      <c r="A92" s="9"/>
      <c r="B92" s="9"/>
      <c r="C92" s="9"/>
      <c r="D92" s="9"/>
      <c r="E92" s="9"/>
      <c r="F92" s="10"/>
      <c r="G92" s="9"/>
    </row>
    <row r="93" spans="1:7" x14ac:dyDescent="0.45">
      <c r="A93" s="9"/>
      <c r="B93" s="9"/>
      <c r="C93" s="9"/>
      <c r="D93" s="9"/>
      <c r="E93" s="9"/>
      <c r="F93" s="10"/>
      <c r="G93" s="9"/>
    </row>
    <row r="94" spans="1:7" x14ac:dyDescent="0.45">
      <c r="A94" s="9"/>
      <c r="B94" s="9"/>
      <c r="C94" s="9"/>
      <c r="D94" s="9"/>
      <c r="E94" s="9"/>
      <c r="F94" s="10"/>
      <c r="G94" s="9"/>
    </row>
    <row r="95" spans="1:7" x14ac:dyDescent="0.45">
      <c r="A95" s="9"/>
      <c r="B95" s="9"/>
      <c r="C95" s="9"/>
      <c r="D95" s="9"/>
      <c r="E95" s="9"/>
      <c r="F95" s="10"/>
      <c r="G95" s="9"/>
    </row>
    <row r="96" spans="1:7" x14ac:dyDescent="0.45">
      <c r="A96" s="9"/>
      <c r="B96" s="9"/>
      <c r="C96" s="9"/>
      <c r="D96" s="9"/>
      <c r="E96" s="9"/>
      <c r="F96" s="10"/>
      <c r="G96" s="9"/>
    </row>
    <row r="97" spans="1:7" x14ac:dyDescent="0.45">
      <c r="A97" s="9"/>
      <c r="B97" s="9"/>
      <c r="C97" s="9"/>
      <c r="D97" s="9"/>
      <c r="E97" s="9"/>
      <c r="F97" s="10"/>
      <c r="G97" s="9"/>
    </row>
    <row r="98" spans="1:7" x14ac:dyDescent="0.45">
      <c r="A98" s="9"/>
      <c r="B98" s="9"/>
      <c r="C98" s="9"/>
      <c r="D98" s="9"/>
      <c r="E98" s="9"/>
      <c r="F98" s="10"/>
      <c r="G98" s="9"/>
    </row>
    <row r="99" spans="1:7" x14ac:dyDescent="0.45">
      <c r="A99" s="9"/>
      <c r="B99" s="9"/>
      <c r="C99" s="9"/>
      <c r="D99" s="9"/>
      <c r="E99" s="9"/>
      <c r="F99" s="10"/>
      <c r="G99" s="9"/>
    </row>
    <row r="100" spans="1:7" x14ac:dyDescent="0.45">
      <c r="A100" s="9"/>
      <c r="B100" s="9"/>
      <c r="C100" s="9"/>
      <c r="D100" s="9"/>
      <c r="E100" s="9"/>
      <c r="F100" s="10"/>
      <c r="G100" s="9"/>
    </row>
    <row r="101" spans="1:7" x14ac:dyDescent="0.45">
      <c r="A101" s="9"/>
      <c r="B101" s="9"/>
      <c r="C101" s="9"/>
      <c r="D101" s="9"/>
      <c r="E101" s="9"/>
      <c r="F101" s="10"/>
      <c r="G101" s="9"/>
    </row>
    <row r="102" spans="1:7" x14ac:dyDescent="0.45">
      <c r="A102" s="9"/>
      <c r="B102" s="9"/>
      <c r="C102" s="9"/>
      <c r="D102" s="9"/>
      <c r="E102" s="9"/>
      <c r="F102" s="10"/>
      <c r="G102" s="9"/>
    </row>
    <row r="103" spans="1:7" x14ac:dyDescent="0.45">
      <c r="A103" s="9"/>
      <c r="B103" s="9"/>
      <c r="C103" s="9"/>
      <c r="D103" s="9"/>
      <c r="E103" s="9"/>
      <c r="F103" s="10"/>
      <c r="G103" s="9"/>
    </row>
    <row r="104" spans="1:7" x14ac:dyDescent="0.45">
      <c r="A104" s="9"/>
      <c r="B104" s="9"/>
      <c r="C104" s="9"/>
      <c r="D104" s="9"/>
      <c r="E104" s="9"/>
      <c r="F104" s="10"/>
      <c r="G104" s="9"/>
    </row>
    <row r="105" spans="1:7" x14ac:dyDescent="0.45">
      <c r="A105" s="9"/>
      <c r="B105" s="9"/>
      <c r="C105" s="9"/>
      <c r="D105" s="9"/>
      <c r="E105" s="9"/>
      <c r="F105" s="10"/>
      <c r="G105" s="9"/>
    </row>
    <row r="106" spans="1:7" x14ac:dyDescent="0.45">
      <c r="A106" s="9"/>
      <c r="B106" s="9"/>
      <c r="C106" s="9"/>
      <c r="D106" s="9"/>
      <c r="E106" s="9"/>
      <c r="F106" s="10"/>
      <c r="G106" s="9"/>
    </row>
    <row r="107" spans="1:7" x14ac:dyDescent="0.45">
      <c r="A107" s="9"/>
      <c r="B107" s="9"/>
      <c r="C107" s="9"/>
      <c r="D107" s="9"/>
      <c r="E107" s="9"/>
      <c r="F107" s="10"/>
      <c r="G107" s="9"/>
    </row>
    <row r="108" spans="1:7" x14ac:dyDescent="0.45">
      <c r="A108" s="9"/>
      <c r="B108" s="9"/>
      <c r="C108" s="9"/>
      <c r="D108" s="9"/>
      <c r="E108" s="9"/>
      <c r="F108" s="10"/>
      <c r="G108" s="9"/>
    </row>
    <row r="109" spans="1:7" x14ac:dyDescent="0.45">
      <c r="A109" s="9"/>
      <c r="B109" s="9"/>
      <c r="C109" s="9"/>
      <c r="D109" s="9"/>
      <c r="E109" s="9"/>
      <c r="F109" s="10"/>
      <c r="G109" s="9"/>
    </row>
    <row r="110" spans="1:7" x14ac:dyDescent="0.45">
      <c r="A110" s="9"/>
      <c r="B110" s="9"/>
      <c r="C110" s="9"/>
      <c r="D110" s="9"/>
      <c r="E110" s="9"/>
      <c r="F110" s="10"/>
      <c r="G110" s="9"/>
    </row>
    <row r="111" spans="1:7" x14ac:dyDescent="0.45">
      <c r="A111" s="9"/>
      <c r="B111" s="9"/>
      <c r="C111" s="9"/>
      <c r="D111" s="9"/>
      <c r="E111" s="9"/>
      <c r="F111" s="10"/>
      <c r="G111" s="9"/>
    </row>
    <row r="112" spans="1:7" x14ac:dyDescent="0.45">
      <c r="A112" s="9"/>
      <c r="B112" s="9"/>
      <c r="C112" s="9"/>
      <c r="D112" s="9"/>
      <c r="E112" s="9"/>
      <c r="F112" s="10"/>
      <c r="G112" s="9"/>
    </row>
    <row r="113" spans="1:7" x14ac:dyDescent="0.45">
      <c r="A113" s="9"/>
      <c r="B113" s="9"/>
      <c r="C113" s="9"/>
      <c r="D113" s="9"/>
      <c r="E113" s="9"/>
      <c r="F113" s="10"/>
      <c r="G113" s="9"/>
    </row>
    <row r="114" spans="1:7" x14ac:dyDescent="0.45">
      <c r="A114" s="9"/>
      <c r="B114" s="9"/>
      <c r="C114" s="9"/>
      <c r="D114" s="9"/>
      <c r="E114" s="9"/>
      <c r="F114" s="10"/>
      <c r="G114" s="9"/>
    </row>
    <row r="115" spans="1:7" x14ac:dyDescent="0.45">
      <c r="A115" s="9"/>
      <c r="B115" s="9"/>
      <c r="C115" s="9"/>
      <c r="D115" s="9"/>
      <c r="E115" s="9"/>
      <c r="F115" s="10"/>
      <c r="G115" s="9"/>
    </row>
    <row r="116" spans="1:7" x14ac:dyDescent="0.45">
      <c r="A116" s="9"/>
      <c r="B116" s="9"/>
      <c r="C116" s="9"/>
      <c r="D116" s="9"/>
      <c r="E116" s="9"/>
      <c r="F116" s="10"/>
      <c r="G116" s="9"/>
    </row>
    <row r="117" spans="1:7" x14ac:dyDescent="0.45">
      <c r="A117" s="9"/>
      <c r="B117" s="9"/>
      <c r="C117" s="9"/>
      <c r="D117" s="9"/>
      <c r="E117" s="9"/>
      <c r="F117" s="10"/>
      <c r="G117" s="9"/>
    </row>
    <row r="118" spans="1:7" x14ac:dyDescent="0.45">
      <c r="A118" s="9"/>
      <c r="B118" s="9"/>
      <c r="C118" s="9"/>
      <c r="D118" s="9"/>
      <c r="E118" s="9"/>
      <c r="F118" s="10"/>
      <c r="G118" s="9"/>
    </row>
    <row r="119" spans="1:7" x14ac:dyDescent="0.45">
      <c r="A119" s="9"/>
      <c r="B119" s="9"/>
      <c r="C119" s="9"/>
      <c r="D119" s="9"/>
      <c r="E119" s="9"/>
      <c r="F119" s="10"/>
      <c r="G119" s="9"/>
    </row>
    <row r="120" spans="1:7" x14ac:dyDescent="0.45">
      <c r="A120" s="9"/>
      <c r="B120" s="9"/>
      <c r="C120" s="9"/>
      <c r="D120" s="9"/>
      <c r="E120" s="9"/>
      <c r="F120" s="10"/>
      <c r="G120" s="9"/>
    </row>
    <row r="121" spans="1:7" x14ac:dyDescent="0.45">
      <c r="A121" s="9"/>
      <c r="B121" s="9"/>
      <c r="C121" s="9"/>
      <c r="D121" s="9"/>
      <c r="E121" s="9"/>
      <c r="F121" s="10"/>
      <c r="G121" s="9"/>
    </row>
    <row r="122" spans="1:7" x14ac:dyDescent="0.45">
      <c r="A122" s="9"/>
      <c r="B122" s="9"/>
      <c r="C122" s="9"/>
      <c r="D122" s="9"/>
      <c r="E122" s="9"/>
      <c r="F122" s="10"/>
      <c r="G122" s="9"/>
    </row>
    <row r="123" spans="1:7" x14ac:dyDescent="0.45">
      <c r="A123" s="9"/>
      <c r="B123" s="9"/>
      <c r="C123" s="9"/>
      <c r="D123" s="9"/>
      <c r="E123" s="9"/>
      <c r="F123" s="10"/>
      <c r="G123" s="9"/>
    </row>
    <row r="124" spans="1:7" x14ac:dyDescent="0.45">
      <c r="A124" s="9"/>
      <c r="B124" s="9"/>
      <c r="C124" s="9"/>
      <c r="D124" s="9"/>
      <c r="E124" s="9"/>
      <c r="F124" s="10"/>
      <c r="G124" s="9"/>
    </row>
    <row r="125" spans="1:7" x14ac:dyDescent="0.45">
      <c r="A125" s="9"/>
      <c r="B125" s="9"/>
      <c r="C125" s="9"/>
      <c r="D125" s="9"/>
      <c r="E125" s="9"/>
      <c r="F125" s="10"/>
      <c r="G125" s="9"/>
    </row>
    <row r="126" spans="1:7" x14ac:dyDescent="0.45">
      <c r="A126" s="9"/>
      <c r="B126" s="9"/>
      <c r="C126" s="9"/>
      <c r="D126" s="9"/>
      <c r="E126" s="9"/>
      <c r="F126" s="10"/>
      <c r="G126" s="9"/>
    </row>
    <row r="127" spans="1:7" x14ac:dyDescent="0.45">
      <c r="A127" s="9"/>
      <c r="B127" s="9"/>
      <c r="C127" s="9"/>
      <c r="D127" s="9"/>
      <c r="E127" s="9"/>
      <c r="F127" s="10"/>
      <c r="G127" s="9"/>
    </row>
    <row r="128" spans="1:7" x14ac:dyDescent="0.45">
      <c r="A128" s="9"/>
      <c r="B128" s="9"/>
      <c r="C128" s="9"/>
      <c r="D128" s="9"/>
      <c r="E128" s="9"/>
      <c r="F128" s="10"/>
      <c r="G128" s="9"/>
    </row>
    <row r="129" spans="1:7" x14ac:dyDescent="0.45">
      <c r="A129" s="9"/>
      <c r="B129" s="9"/>
      <c r="C129" s="9"/>
      <c r="D129" s="9"/>
      <c r="E129" s="9"/>
      <c r="F129" s="10"/>
      <c r="G129" s="9"/>
    </row>
    <row r="130" spans="1:7" x14ac:dyDescent="0.45">
      <c r="A130" s="9"/>
      <c r="B130" s="9"/>
      <c r="C130" s="9"/>
      <c r="D130" s="9"/>
      <c r="E130" s="9"/>
      <c r="F130" s="10"/>
      <c r="G130" s="9"/>
    </row>
    <row r="131" spans="1:7" x14ac:dyDescent="0.45">
      <c r="A131" s="9"/>
      <c r="B131" s="9"/>
      <c r="C131" s="9"/>
      <c r="D131" s="9"/>
      <c r="E131" s="9"/>
      <c r="F131" s="10"/>
      <c r="G131" s="9"/>
    </row>
    <row r="132" spans="1:7" x14ac:dyDescent="0.45">
      <c r="A132" s="9"/>
      <c r="B132" s="9"/>
      <c r="C132" s="9"/>
      <c r="D132" s="9"/>
      <c r="E132" s="9"/>
      <c r="F132" s="10"/>
      <c r="G132" s="9"/>
    </row>
    <row r="133" spans="1:7" x14ac:dyDescent="0.45">
      <c r="A133" s="9"/>
      <c r="B133" s="9"/>
      <c r="C133" s="9"/>
      <c r="D133" s="9"/>
      <c r="E133" s="9"/>
      <c r="F133" s="10"/>
      <c r="G133" s="9"/>
    </row>
    <row r="134" spans="1:7" x14ac:dyDescent="0.45">
      <c r="A134" s="9"/>
      <c r="B134" s="9"/>
      <c r="C134" s="9"/>
      <c r="D134" s="9"/>
      <c r="E134" s="9"/>
      <c r="F134" s="10"/>
      <c r="G134" s="9"/>
    </row>
    <row r="135" spans="1:7" x14ac:dyDescent="0.45">
      <c r="A135" s="9"/>
      <c r="B135" s="9"/>
      <c r="C135" s="9"/>
      <c r="D135" s="9"/>
      <c r="E135" s="9"/>
      <c r="F135" s="10"/>
      <c r="G135" s="9"/>
    </row>
    <row r="136" spans="1:7" x14ac:dyDescent="0.45">
      <c r="A136" s="9"/>
      <c r="B136" s="9"/>
      <c r="C136" s="9"/>
      <c r="D136" s="9"/>
      <c r="E136" s="9"/>
      <c r="F136" s="10"/>
      <c r="G136" s="9"/>
    </row>
    <row r="137" spans="1:7" x14ac:dyDescent="0.45">
      <c r="A137" s="9"/>
      <c r="B137" s="9"/>
      <c r="C137" s="9"/>
      <c r="D137" s="9"/>
      <c r="E137" s="9"/>
      <c r="F137" s="10"/>
      <c r="G137" s="9"/>
    </row>
    <row r="138" spans="1:7" x14ac:dyDescent="0.45">
      <c r="A138" s="9"/>
      <c r="B138" s="9"/>
      <c r="C138" s="9"/>
      <c r="D138" s="9"/>
      <c r="E138" s="9"/>
      <c r="F138" s="10"/>
      <c r="G138" s="9"/>
    </row>
    <row r="139" spans="1:7" x14ac:dyDescent="0.45">
      <c r="A139" s="9"/>
      <c r="B139" s="9"/>
      <c r="C139" s="9"/>
      <c r="D139" s="9"/>
      <c r="E139" s="9"/>
      <c r="F139" s="10"/>
      <c r="G139" s="9"/>
    </row>
    <row r="140" spans="1:7" x14ac:dyDescent="0.45">
      <c r="A140" s="9"/>
      <c r="B140" s="9"/>
      <c r="C140" s="9"/>
      <c r="D140" s="9"/>
      <c r="E140" s="9"/>
      <c r="F140" s="10"/>
      <c r="G140" s="9"/>
    </row>
    <row r="141" spans="1:7" x14ac:dyDescent="0.45">
      <c r="A141" s="9"/>
      <c r="B141" s="9"/>
      <c r="C141" s="9"/>
      <c r="D141" s="9"/>
      <c r="E141" s="9"/>
      <c r="F141" s="10"/>
      <c r="G141" s="9"/>
    </row>
    <row r="142" spans="1:7" x14ac:dyDescent="0.45">
      <c r="A142" s="9"/>
      <c r="B142" s="9"/>
      <c r="C142" s="9"/>
      <c r="D142" s="9"/>
      <c r="E142" s="9"/>
      <c r="F142" s="10"/>
      <c r="G142" s="9"/>
    </row>
    <row r="143" spans="1:7" x14ac:dyDescent="0.45">
      <c r="A143" s="9"/>
      <c r="B143" s="9"/>
      <c r="C143" s="9"/>
      <c r="D143" s="9"/>
      <c r="E143" s="9"/>
      <c r="F143" s="10"/>
      <c r="G143" s="9"/>
    </row>
    <row r="144" spans="1:7" x14ac:dyDescent="0.45">
      <c r="A144" s="9"/>
      <c r="B144" s="9"/>
      <c r="C144" s="9"/>
      <c r="D144" s="9"/>
      <c r="E144" s="9"/>
      <c r="F144" s="10"/>
      <c r="G144" s="9"/>
    </row>
    <row r="145" spans="1:7" x14ac:dyDescent="0.45">
      <c r="A145" s="9"/>
      <c r="B145" s="9"/>
      <c r="C145" s="9"/>
      <c r="D145" s="9"/>
      <c r="E145" s="9"/>
      <c r="F145" s="10"/>
      <c r="G145" s="9"/>
    </row>
    <row r="146" spans="1:7" x14ac:dyDescent="0.45">
      <c r="A146" s="9"/>
      <c r="B146" s="9"/>
      <c r="C146" s="9"/>
      <c r="D146" s="9"/>
      <c r="E146" s="9"/>
      <c r="F146" s="10"/>
      <c r="G146" s="9"/>
    </row>
    <row r="147" spans="1:7" x14ac:dyDescent="0.45">
      <c r="A147" s="9"/>
      <c r="B147" s="9"/>
      <c r="C147" s="9"/>
      <c r="D147" s="9"/>
      <c r="E147" s="9"/>
      <c r="F147" s="10"/>
      <c r="G147" s="9"/>
    </row>
    <row r="148" spans="1:7" x14ac:dyDescent="0.45">
      <c r="A148" s="9"/>
      <c r="B148" s="9"/>
      <c r="C148" s="9"/>
      <c r="D148" s="9"/>
      <c r="E148" s="9"/>
      <c r="F148" s="10"/>
      <c r="G148" s="9"/>
    </row>
    <row r="149" spans="1:7" x14ac:dyDescent="0.45">
      <c r="A149" s="9"/>
      <c r="B149" s="9"/>
      <c r="C149" s="9"/>
      <c r="D149" s="9"/>
      <c r="E149" s="9"/>
      <c r="F149" s="10"/>
      <c r="G149" s="9"/>
    </row>
    <row r="150" spans="1:7" x14ac:dyDescent="0.45">
      <c r="A150" s="9"/>
      <c r="B150" s="9"/>
      <c r="C150" s="9"/>
      <c r="D150" s="9"/>
      <c r="E150" s="9"/>
      <c r="F150" s="10"/>
      <c r="G150" s="9"/>
    </row>
    <row r="151" spans="1:7" x14ac:dyDescent="0.45">
      <c r="A151" s="9"/>
      <c r="B151" s="9"/>
      <c r="C151" s="9"/>
      <c r="D151" s="9"/>
      <c r="E151" s="9"/>
      <c r="F151" s="10"/>
      <c r="G151" s="9"/>
    </row>
    <row r="152" spans="1:7" x14ac:dyDescent="0.45">
      <c r="A152" s="9"/>
      <c r="B152" s="9"/>
      <c r="C152" s="9"/>
      <c r="D152" s="9"/>
      <c r="E152" s="9"/>
      <c r="F152" s="10"/>
      <c r="G152" s="9"/>
    </row>
    <row r="153" spans="1:7" x14ac:dyDescent="0.45">
      <c r="A153" s="9"/>
      <c r="B153" s="9"/>
      <c r="C153" s="9"/>
      <c r="D153" s="9"/>
      <c r="E153" s="9"/>
      <c r="F153" s="10"/>
      <c r="G153" s="9"/>
    </row>
    <row r="154" spans="1:7" x14ac:dyDescent="0.45">
      <c r="A154" s="9"/>
      <c r="B154" s="9"/>
      <c r="C154" s="9"/>
      <c r="D154" s="9"/>
      <c r="E154" s="9"/>
      <c r="F154" s="10"/>
      <c r="G154" s="9"/>
    </row>
    <row r="155" spans="1:7" x14ac:dyDescent="0.45">
      <c r="A155" s="9"/>
      <c r="B155" s="9"/>
      <c r="C155" s="9"/>
      <c r="D155" s="9"/>
      <c r="E155" s="9"/>
      <c r="F155" s="10"/>
      <c r="G155" s="9"/>
    </row>
    <row r="156" spans="1:7" x14ac:dyDescent="0.45">
      <c r="A156" s="9"/>
      <c r="B156" s="9"/>
      <c r="C156" s="9"/>
      <c r="D156" s="9"/>
      <c r="E156" s="9"/>
      <c r="F156" s="10"/>
      <c r="G156" s="9"/>
    </row>
    <row r="157" spans="1:7" x14ac:dyDescent="0.45">
      <c r="A157" s="9"/>
      <c r="B157" s="9"/>
      <c r="C157" s="9"/>
      <c r="D157" s="9"/>
      <c r="E157" s="9"/>
      <c r="F157" s="10"/>
      <c r="G157" s="9"/>
    </row>
    <row r="158" spans="1:7" x14ac:dyDescent="0.45">
      <c r="A158" s="9"/>
      <c r="B158" s="9"/>
      <c r="C158" s="9"/>
      <c r="D158" s="9"/>
      <c r="E158" s="9"/>
      <c r="F158" s="10"/>
      <c r="G158" s="9"/>
    </row>
    <row r="159" spans="1:7" x14ac:dyDescent="0.45">
      <c r="A159" s="9"/>
      <c r="B159" s="9"/>
      <c r="C159" s="9"/>
      <c r="D159" s="9"/>
      <c r="E159" s="9"/>
      <c r="F159" s="10"/>
      <c r="G159" s="9"/>
    </row>
    <row r="160" spans="1:7" x14ac:dyDescent="0.45">
      <c r="A160" s="9"/>
      <c r="B160" s="9"/>
      <c r="C160" s="9"/>
      <c r="D160" s="9"/>
      <c r="E160" s="9"/>
      <c r="F160" s="10"/>
      <c r="G160" s="9"/>
    </row>
    <row r="161" spans="1:7" x14ac:dyDescent="0.45">
      <c r="A161" s="9"/>
      <c r="B161" s="9"/>
      <c r="C161" s="9"/>
      <c r="D161" s="9"/>
      <c r="E161" s="9"/>
      <c r="F161" s="10"/>
      <c r="G161" s="9"/>
    </row>
    <row r="162" spans="1:7" x14ac:dyDescent="0.45">
      <c r="A162" s="9"/>
      <c r="B162" s="9"/>
      <c r="C162" s="9"/>
      <c r="D162" s="9"/>
      <c r="E162" s="9"/>
      <c r="F162" s="10"/>
      <c r="G162" s="9"/>
    </row>
    <row r="163" spans="1:7" x14ac:dyDescent="0.45">
      <c r="A163" s="9"/>
      <c r="B163" s="9"/>
      <c r="C163" s="9"/>
      <c r="D163" s="9"/>
      <c r="E163" s="9"/>
      <c r="F163" s="10"/>
      <c r="G163" s="9"/>
    </row>
    <row r="164" spans="1:7" x14ac:dyDescent="0.45">
      <c r="A164" s="9"/>
      <c r="B164" s="9"/>
      <c r="C164" s="9"/>
      <c r="D164" s="9"/>
      <c r="E164" s="9"/>
      <c r="F164" s="10"/>
      <c r="G164" s="9"/>
    </row>
    <row r="165" spans="1:7" x14ac:dyDescent="0.45">
      <c r="A165" s="9"/>
      <c r="B165" s="9"/>
      <c r="C165" s="9"/>
      <c r="D165" s="9"/>
      <c r="E165" s="9"/>
      <c r="F165" s="10"/>
      <c r="G165" s="9"/>
    </row>
    <row r="166" spans="1:7" x14ac:dyDescent="0.45">
      <c r="A166" s="9"/>
      <c r="B166" s="9"/>
      <c r="C166" s="9"/>
      <c r="D166" s="9"/>
      <c r="E166" s="9"/>
      <c r="F166" s="10"/>
      <c r="G166" s="9"/>
    </row>
    <row r="167" spans="1:7" x14ac:dyDescent="0.45">
      <c r="A167" s="9"/>
      <c r="B167" s="9"/>
      <c r="C167" s="9"/>
      <c r="D167" s="9"/>
      <c r="E167" s="9"/>
      <c r="F167" s="10"/>
      <c r="G167" s="9"/>
    </row>
    <row r="168" spans="1:7" x14ac:dyDescent="0.45">
      <c r="A168" s="9"/>
      <c r="B168" s="9"/>
      <c r="C168" s="9"/>
      <c r="D168" s="9"/>
      <c r="E168" s="9"/>
      <c r="F168" s="10"/>
      <c r="G168" s="9"/>
    </row>
    <row r="169" spans="1:7" x14ac:dyDescent="0.45">
      <c r="A169" s="9"/>
      <c r="B169" s="9"/>
      <c r="C169" s="9"/>
      <c r="D169" s="9"/>
      <c r="E169" s="9"/>
      <c r="F169" s="10"/>
      <c r="G169" s="9"/>
    </row>
    <row r="170" spans="1:7" x14ac:dyDescent="0.45">
      <c r="A170" s="9"/>
      <c r="B170" s="9"/>
      <c r="C170" s="9"/>
      <c r="D170" s="9"/>
      <c r="E170" s="9"/>
      <c r="F170" s="10"/>
      <c r="G170" s="9"/>
    </row>
    <row r="171" spans="1:7" x14ac:dyDescent="0.45">
      <c r="A171" s="9"/>
      <c r="B171" s="9"/>
      <c r="C171" s="9"/>
      <c r="D171" s="9"/>
      <c r="E171" s="9"/>
      <c r="F171" s="10"/>
      <c r="G171" s="9"/>
    </row>
    <row r="172" spans="1:7" x14ac:dyDescent="0.45">
      <c r="A172" s="9"/>
      <c r="B172" s="9"/>
      <c r="C172" s="9"/>
      <c r="D172" s="9"/>
      <c r="E172" s="9"/>
      <c r="F172" s="10"/>
      <c r="G172" s="9"/>
    </row>
    <row r="173" spans="1:7" x14ac:dyDescent="0.45">
      <c r="A173" s="9"/>
      <c r="B173" s="9"/>
      <c r="C173" s="9"/>
      <c r="D173" s="9"/>
      <c r="E173" s="9"/>
      <c r="F173" s="10"/>
      <c r="G173" s="9"/>
    </row>
    <row r="174" spans="1:7" x14ac:dyDescent="0.45">
      <c r="A174" s="9"/>
      <c r="B174" s="9"/>
      <c r="C174" s="9"/>
      <c r="D174" s="9"/>
      <c r="E174" s="9"/>
      <c r="F174" s="10"/>
      <c r="G174" s="9"/>
    </row>
    <row r="175" spans="1:7" x14ac:dyDescent="0.45">
      <c r="A175" s="9"/>
      <c r="B175" s="9"/>
      <c r="C175" s="9"/>
      <c r="D175" s="9"/>
      <c r="E175" s="9"/>
      <c r="F175" s="10"/>
      <c r="G175" s="9"/>
    </row>
    <row r="176" spans="1:7" x14ac:dyDescent="0.45">
      <c r="A176" s="9"/>
      <c r="B176" s="9"/>
      <c r="C176" s="9"/>
      <c r="D176" s="9"/>
      <c r="E176" s="9"/>
      <c r="F176" s="10"/>
      <c r="G176" s="9"/>
    </row>
    <row r="177" spans="1:7" x14ac:dyDescent="0.45">
      <c r="A177" s="9"/>
      <c r="B177" s="9"/>
      <c r="C177" s="9"/>
      <c r="D177" s="9"/>
      <c r="E177" s="9"/>
      <c r="F177" s="10"/>
      <c r="G177" s="9"/>
    </row>
    <row r="178" spans="1:7" x14ac:dyDescent="0.45">
      <c r="A178" s="9"/>
      <c r="B178" s="9"/>
      <c r="C178" s="9"/>
      <c r="D178" s="9"/>
      <c r="E178" s="9"/>
      <c r="F178" s="10"/>
      <c r="G178" s="9"/>
    </row>
    <row r="179" spans="1:7" x14ac:dyDescent="0.45">
      <c r="A179" s="9"/>
      <c r="B179" s="9"/>
      <c r="C179" s="9"/>
      <c r="D179" s="9"/>
      <c r="E179" s="9"/>
      <c r="F179" s="10"/>
      <c r="G179" s="9"/>
    </row>
    <row r="180" spans="1:7" x14ac:dyDescent="0.45">
      <c r="A180" s="9"/>
      <c r="B180" s="9"/>
      <c r="C180" s="9"/>
      <c r="D180" s="9"/>
      <c r="E180" s="9"/>
      <c r="F180" s="10"/>
      <c r="G180" s="9"/>
    </row>
    <row r="181" spans="1:7" x14ac:dyDescent="0.45">
      <c r="A181" s="9"/>
      <c r="B181" s="9"/>
      <c r="C181" s="9"/>
      <c r="D181" s="9"/>
      <c r="E181" s="9"/>
      <c r="F181" s="10"/>
      <c r="G181" s="9"/>
    </row>
    <row r="182" spans="1:7" x14ac:dyDescent="0.45">
      <c r="A182" s="9"/>
      <c r="B182" s="9"/>
      <c r="C182" s="9"/>
      <c r="D182" s="9"/>
      <c r="E182" s="9"/>
      <c r="F182" s="10"/>
      <c r="G182" s="9"/>
    </row>
    <row r="183" spans="1:7" x14ac:dyDescent="0.45">
      <c r="A183" s="9"/>
      <c r="B183" s="9"/>
      <c r="C183" s="9"/>
      <c r="D183" s="9"/>
      <c r="E183" s="9"/>
      <c r="F183" s="10"/>
      <c r="G183" s="9"/>
    </row>
    <row r="184" spans="1:7" x14ac:dyDescent="0.45">
      <c r="A184" s="9"/>
      <c r="B184" s="9"/>
      <c r="C184" s="9"/>
      <c r="D184" s="9"/>
      <c r="E184" s="9"/>
      <c r="F184" s="10"/>
      <c r="G184" s="9"/>
    </row>
    <row r="185" spans="1:7" x14ac:dyDescent="0.45">
      <c r="A185" s="9"/>
      <c r="B185" s="9"/>
      <c r="C185" s="9"/>
      <c r="D185" s="9"/>
      <c r="E185" s="9"/>
      <c r="F185" s="10"/>
      <c r="G185" s="9"/>
    </row>
    <row r="186" spans="1:7" x14ac:dyDescent="0.45">
      <c r="A186" s="9"/>
      <c r="B186" s="9"/>
      <c r="C186" s="9"/>
      <c r="D186" s="9"/>
      <c r="E186" s="9"/>
      <c r="F186" s="10"/>
      <c r="G186" s="9"/>
    </row>
    <row r="187" spans="1:7" x14ac:dyDescent="0.45">
      <c r="A187" s="9"/>
      <c r="B187" s="9"/>
      <c r="C187" s="9"/>
      <c r="D187" s="9"/>
      <c r="E187" s="9"/>
      <c r="F187" s="10"/>
      <c r="G187" s="9"/>
    </row>
    <row r="188" spans="1:7" x14ac:dyDescent="0.45">
      <c r="A188" s="9"/>
      <c r="B188" s="9"/>
      <c r="C188" s="9"/>
      <c r="D188" s="9"/>
      <c r="E188" s="9"/>
      <c r="F188" s="10"/>
      <c r="G188" s="9"/>
    </row>
    <row r="189" spans="1:7" x14ac:dyDescent="0.45">
      <c r="A189" s="9"/>
      <c r="B189" s="9"/>
      <c r="C189" s="9"/>
      <c r="D189" s="9"/>
      <c r="E189" s="9"/>
      <c r="F189" s="10"/>
      <c r="G189" s="9"/>
    </row>
    <row r="190" spans="1:7" x14ac:dyDescent="0.45">
      <c r="A190" s="9"/>
      <c r="B190" s="9"/>
      <c r="C190" s="9"/>
      <c r="D190" s="9"/>
      <c r="E190" s="9"/>
      <c r="F190" s="10"/>
      <c r="G190" s="9"/>
    </row>
    <row r="191" spans="1:7" x14ac:dyDescent="0.45">
      <c r="A191" s="9"/>
      <c r="B191" s="9"/>
      <c r="C191" s="9"/>
      <c r="D191" s="9"/>
      <c r="E191" s="9"/>
      <c r="F191" s="10"/>
      <c r="G191" s="9"/>
    </row>
    <row r="192" spans="1:7" x14ac:dyDescent="0.45">
      <c r="A192" s="9"/>
      <c r="B192" s="9"/>
      <c r="C192" s="9"/>
      <c r="D192" s="9"/>
      <c r="E192" s="9"/>
      <c r="F192" s="10"/>
      <c r="G192" s="9"/>
    </row>
    <row r="193" spans="1:7" x14ac:dyDescent="0.45">
      <c r="A193" s="9"/>
      <c r="B193" s="9"/>
      <c r="C193" s="9"/>
      <c r="D193" s="9"/>
      <c r="E193" s="9"/>
      <c r="F193" s="10"/>
      <c r="G193" s="9"/>
    </row>
    <row r="194" spans="1:7" x14ac:dyDescent="0.45">
      <c r="A194" s="9"/>
      <c r="B194" s="9"/>
      <c r="C194" s="9"/>
      <c r="D194" s="9"/>
      <c r="E194" s="9"/>
      <c r="F194" s="10"/>
      <c r="G194" s="9"/>
    </row>
    <row r="195" spans="1:7" x14ac:dyDescent="0.45">
      <c r="A195" s="9"/>
      <c r="B195" s="9"/>
      <c r="C195" s="9"/>
      <c r="D195" s="9"/>
      <c r="E195" s="9"/>
      <c r="F195" s="10"/>
      <c r="G195" s="9"/>
    </row>
    <row r="196" spans="1:7" x14ac:dyDescent="0.45">
      <c r="A196" s="9"/>
      <c r="B196" s="9"/>
      <c r="C196" s="9"/>
      <c r="D196" s="9"/>
      <c r="E196" s="9"/>
      <c r="F196" s="10"/>
      <c r="G196" s="9"/>
    </row>
    <row r="197" spans="1:7" x14ac:dyDescent="0.45">
      <c r="A197" s="9"/>
      <c r="B197" s="9"/>
      <c r="C197" s="9"/>
      <c r="D197" s="9"/>
      <c r="E197" s="9"/>
      <c r="F197" s="10"/>
      <c r="G197" s="9"/>
    </row>
    <row r="198" spans="1:7" x14ac:dyDescent="0.45">
      <c r="A198" s="9"/>
      <c r="B198" s="9"/>
      <c r="C198" s="9"/>
      <c r="D198" s="9"/>
      <c r="E198" s="9"/>
      <c r="F198" s="10"/>
      <c r="G198" s="9"/>
    </row>
    <row r="199" spans="1:7" x14ac:dyDescent="0.45">
      <c r="A199" s="9"/>
      <c r="B199" s="9"/>
      <c r="C199" s="9"/>
      <c r="D199" s="9"/>
      <c r="E199" s="9"/>
      <c r="F199" s="10"/>
      <c r="G199" s="9"/>
    </row>
    <row r="200" spans="1:7" x14ac:dyDescent="0.45">
      <c r="A200" s="9"/>
      <c r="B200" s="9"/>
      <c r="C200" s="9"/>
      <c r="D200" s="9"/>
      <c r="E200" s="9"/>
      <c r="F200" s="10"/>
      <c r="G200" s="9"/>
    </row>
    <row r="201" spans="1:7" x14ac:dyDescent="0.45">
      <c r="A201" s="9"/>
      <c r="B201" s="9"/>
      <c r="C201" s="9"/>
      <c r="D201" s="9"/>
      <c r="E201" s="9"/>
      <c r="F201" s="10"/>
      <c r="G201" s="9"/>
    </row>
    <row r="202" spans="1:7" x14ac:dyDescent="0.45">
      <c r="A202" s="9"/>
      <c r="B202" s="9"/>
      <c r="C202" s="9"/>
      <c r="D202" s="9"/>
      <c r="E202" s="9"/>
      <c r="F202" s="10"/>
      <c r="G202" s="9"/>
    </row>
    <row r="203" spans="1:7" x14ac:dyDescent="0.45">
      <c r="A203" s="9"/>
      <c r="B203" s="9"/>
      <c r="C203" s="9"/>
      <c r="D203" s="9"/>
      <c r="E203" s="9"/>
      <c r="F203" s="10"/>
      <c r="G203" s="9"/>
    </row>
    <row r="204" spans="1:7" x14ac:dyDescent="0.45">
      <c r="A204" s="9"/>
      <c r="B204" s="9"/>
      <c r="C204" s="9"/>
      <c r="D204" s="9"/>
      <c r="E204" s="9"/>
      <c r="F204" s="10"/>
      <c r="G204" s="9"/>
    </row>
    <row r="205" spans="1:7" x14ac:dyDescent="0.45">
      <c r="A205" s="9"/>
      <c r="B205" s="9"/>
      <c r="C205" s="9"/>
      <c r="D205" s="9"/>
      <c r="E205" s="9"/>
      <c r="F205" s="10"/>
      <c r="G205" s="9"/>
    </row>
    <row r="206" spans="1:7" x14ac:dyDescent="0.45">
      <c r="A206" s="9"/>
      <c r="B206" s="9"/>
      <c r="C206" s="9"/>
      <c r="D206" s="9"/>
      <c r="E206" s="9"/>
      <c r="F206" s="10"/>
      <c r="G206" s="9"/>
    </row>
    <row r="207" spans="1:7" x14ac:dyDescent="0.45">
      <c r="A207" s="9"/>
      <c r="B207" s="9"/>
      <c r="C207" s="9"/>
      <c r="D207" s="9"/>
      <c r="E207" s="9"/>
      <c r="F207" s="10"/>
      <c r="G207" s="9"/>
    </row>
    <row r="208" spans="1:7" x14ac:dyDescent="0.45">
      <c r="A208" s="9"/>
      <c r="B208" s="9"/>
      <c r="C208" s="9"/>
      <c r="D208" s="9"/>
      <c r="E208" s="9"/>
      <c r="F208" s="10"/>
      <c r="G208" s="9"/>
    </row>
    <row r="209" spans="1:7" x14ac:dyDescent="0.45">
      <c r="A209" s="9"/>
      <c r="B209" s="9"/>
      <c r="C209" s="9"/>
      <c r="D209" s="9"/>
      <c r="E209" s="9"/>
      <c r="F209" s="10"/>
      <c r="G209" s="9"/>
    </row>
    <row r="210" spans="1:7" x14ac:dyDescent="0.45">
      <c r="A210" s="9"/>
      <c r="B210" s="9"/>
      <c r="C210" s="9"/>
      <c r="D210" s="9"/>
      <c r="E210" s="9"/>
      <c r="F210" s="10"/>
      <c r="G210" s="9"/>
    </row>
    <row r="211" spans="1:7" x14ac:dyDescent="0.45">
      <c r="A211" s="9"/>
      <c r="B211" s="9"/>
      <c r="C211" s="9"/>
      <c r="D211" s="9"/>
      <c r="E211" s="9"/>
      <c r="F211" s="10"/>
      <c r="G211" s="9"/>
    </row>
    <row r="212" spans="1:7" x14ac:dyDescent="0.45">
      <c r="A212" s="9"/>
      <c r="B212" s="9"/>
      <c r="C212" s="9"/>
      <c r="D212" s="9"/>
      <c r="E212" s="9"/>
      <c r="F212" s="10"/>
      <c r="G212" s="9"/>
    </row>
    <row r="213" spans="1:7" x14ac:dyDescent="0.45">
      <c r="A213" s="9"/>
      <c r="B213" s="9"/>
      <c r="C213" s="9"/>
      <c r="D213" s="9"/>
      <c r="E213" s="9"/>
      <c r="F213" s="10"/>
      <c r="G213" s="9"/>
    </row>
    <row r="214" spans="1:7" x14ac:dyDescent="0.45">
      <c r="A214" s="9"/>
      <c r="B214" s="9"/>
      <c r="C214" s="9"/>
      <c r="D214" s="9"/>
      <c r="E214" s="9"/>
      <c r="F214" s="10"/>
      <c r="G214" s="9"/>
    </row>
    <row r="215" spans="1:7" x14ac:dyDescent="0.45">
      <c r="A215" s="9"/>
      <c r="B215" s="9"/>
      <c r="C215" s="9"/>
      <c r="D215" s="9"/>
      <c r="E215" s="9"/>
      <c r="F215" s="10"/>
      <c r="G215" s="9"/>
    </row>
    <row r="216" spans="1:7" x14ac:dyDescent="0.45">
      <c r="A216" s="9"/>
      <c r="B216" s="9"/>
      <c r="C216" s="9"/>
      <c r="D216" s="9"/>
      <c r="E216" s="9"/>
      <c r="F216" s="10"/>
      <c r="G216" s="9"/>
    </row>
    <row r="217" spans="1:7" x14ac:dyDescent="0.45">
      <c r="A217" s="9"/>
      <c r="B217" s="9"/>
      <c r="C217" s="9"/>
      <c r="D217" s="9"/>
      <c r="E217" s="9"/>
      <c r="F217" s="10"/>
      <c r="G217" s="9"/>
    </row>
    <row r="218" spans="1:7" x14ac:dyDescent="0.45">
      <c r="A218" s="9"/>
      <c r="B218" s="9"/>
      <c r="C218" s="9"/>
      <c r="D218" s="9"/>
      <c r="E218" s="9"/>
      <c r="F218" s="10"/>
      <c r="G218" s="9"/>
    </row>
    <row r="219" spans="1:7" x14ac:dyDescent="0.45">
      <c r="A219" s="9"/>
      <c r="B219" s="9"/>
      <c r="C219" s="9"/>
      <c r="D219" s="9"/>
      <c r="E219" s="9"/>
      <c r="F219" s="10"/>
      <c r="G219" s="9"/>
    </row>
    <row r="220" spans="1:7" x14ac:dyDescent="0.45">
      <c r="A220" s="9"/>
      <c r="B220" s="9"/>
      <c r="C220" s="9"/>
      <c r="D220" s="9"/>
      <c r="E220" s="9"/>
      <c r="F220" s="10"/>
      <c r="G220" s="9"/>
    </row>
    <row r="221" spans="1:7" x14ac:dyDescent="0.45">
      <c r="A221" s="9"/>
      <c r="B221" s="9"/>
      <c r="C221" s="9"/>
      <c r="D221" s="9"/>
      <c r="E221" s="9"/>
      <c r="F221" s="10"/>
      <c r="G221" s="9"/>
    </row>
    <row r="222" spans="1:7" x14ac:dyDescent="0.45">
      <c r="A222" s="9"/>
      <c r="B222" s="9"/>
      <c r="C222" s="9"/>
      <c r="D222" s="9"/>
      <c r="E222" s="9"/>
      <c r="F222" s="10"/>
      <c r="G222" s="9"/>
    </row>
    <row r="223" spans="1:7" x14ac:dyDescent="0.45">
      <c r="A223" s="9"/>
      <c r="B223" s="9"/>
      <c r="C223" s="9"/>
      <c r="D223" s="9"/>
      <c r="E223" s="9"/>
      <c r="F223" s="10"/>
      <c r="G223" s="9"/>
    </row>
    <row r="224" spans="1:7" x14ac:dyDescent="0.45">
      <c r="A224" s="9"/>
      <c r="B224" s="9"/>
      <c r="C224" s="9"/>
      <c r="D224" s="9"/>
      <c r="E224" s="9"/>
      <c r="F224" s="10"/>
      <c r="G224" s="9"/>
    </row>
    <row r="225" spans="1:7" x14ac:dyDescent="0.45">
      <c r="A225" s="9"/>
      <c r="B225" s="9"/>
      <c r="C225" s="9"/>
      <c r="D225" s="9"/>
      <c r="E225" s="9"/>
      <c r="F225" s="10"/>
      <c r="G225" s="9"/>
    </row>
    <row r="226" spans="1:7" x14ac:dyDescent="0.45">
      <c r="A226" s="9"/>
      <c r="B226" s="9"/>
      <c r="C226" s="9"/>
      <c r="D226" s="9"/>
      <c r="E226" s="9"/>
      <c r="F226" s="10"/>
      <c r="G226" s="9"/>
    </row>
    <row r="227" spans="1:7" x14ac:dyDescent="0.45">
      <c r="A227" s="9"/>
      <c r="B227" s="9"/>
      <c r="C227" s="9"/>
      <c r="D227" s="9"/>
      <c r="E227" s="9"/>
      <c r="F227" s="10"/>
      <c r="G227" s="9"/>
    </row>
    <row r="228" spans="1:7" x14ac:dyDescent="0.45">
      <c r="A228" s="9"/>
      <c r="B228" s="9"/>
      <c r="C228" s="9"/>
      <c r="D228" s="9"/>
      <c r="E228" s="9"/>
      <c r="F228" s="10"/>
      <c r="G228" s="9"/>
    </row>
    <row r="229" spans="1:7" x14ac:dyDescent="0.45">
      <c r="A229" s="9"/>
      <c r="B229" s="9"/>
      <c r="C229" s="9"/>
      <c r="D229" s="9"/>
      <c r="E229" s="9"/>
      <c r="F229" s="10"/>
      <c r="G229" s="9"/>
    </row>
    <row r="230" spans="1:7" x14ac:dyDescent="0.45">
      <c r="A230" s="9"/>
      <c r="B230" s="9"/>
      <c r="C230" s="9"/>
      <c r="D230" s="9"/>
      <c r="E230" s="9"/>
      <c r="F230" s="10"/>
      <c r="G230" s="9"/>
    </row>
    <row r="231" spans="1:7" x14ac:dyDescent="0.45">
      <c r="A231" s="9"/>
      <c r="B231" s="9"/>
      <c r="C231" s="9"/>
      <c r="D231" s="9"/>
      <c r="E231" s="9"/>
      <c r="F231" s="10"/>
      <c r="G231" s="9"/>
    </row>
    <row r="232" spans="1:7" x14ac:dyDescent="0.45">
      <c r="A232" s="9"/>
      <c r="B232" s="9"/>
      <c r="C232" s="9"/>
      <c r="D232" s="9"/>
      <c r="E232" s="9"/>
      <c r="F232" s="10"/>
      <c r="G232" s="9"/>
    </row>
    <row r="233" spans="1:7" x14ac:dyDescent="0.45">
      <c r="A233" s="9"/>
      <c r="B233" s="9"/>
      <c r="C233" s="9"/>
      <c r="D233" s="9"/>
      <c r="E233" s="9"/>
      <c r="F233" s="10"/>
      <c r="G233" s="9"/>
    </row>
    <row r="234" spans="1:7" x14ac:dyDescent="0.45">
      <c r="A234" s="9"/>
      <c r="B234" s="9"/>
      <c r="C234" s="9"/>
      <c r="D234" s="9"/>
      <c r="E234" s="9"/>
      <c r="F234" s="10"/>
      <c r="G234" s="9"/>
    </row>
    <row r="235" spans="1:7" x14ac:dyDescent="0.45">
      <c r="A235" s="9"/>
      <c r="B235" s="9"/>
      <c r="C235" s="9"/>
      <c r="D235" s="9"/>
      <c r="E235" s="9"/>
      <c r="F235" s="10"/>
      <c r="G235" s="9"/>
    </row>
    <row r="236" spans="1:7" x14ac:dyDescent="0.45">
      <c r="A236" s="9"/>
      <c r="B236" s="9"/>
      <c r="C236" s="9"/>
      <c r="D236" s="9"/>
      <c r="E236" s="9"/>
      <c r="F236" s="10"/>
      <c r="G236" s="9"/>
    </row>
    <row r="237" spans="1:7" x14ac:dyDescent="0.45">
      <c r="A237" s="9"/>
      <c r="B237" s="9"/>
      <c r="C237" s="9"/>
      <c r="D237" s="9"/>
      <c r="E237" s="9"/>
      <c r="F237" s="10"/>
      <c r="G237" s="9"/>
    </row>
    <row r="238" spans="1:7" x14ac:dyDescent="0.45">
      <c r="A238" s="9"/>
      <c r="B238" s="9"/>
      <c r="C238" s="9"/>
      <c r="D238" s="9"/>
      <c r="E238" s="9"/>
      <c r="F238" s="10"/>
      <c r="G238" s="9"/>
    </row>
    <row r="239" spans="1:7" x14ac:dyDescent="0.45">
      <c r="A239" s="9"/>
      <c r="B239" s="9"/>
      <c r="C239" s="9"/>
      <c r="D239" s="9"/>
      <c r="E239" s="9"/>
      <c r="F239" s="10"/>
      <c r="G239" s="9"/>
    </row>
    <row r="240" spans="1:7" x14ac:dyDescent="0.45">
      <c r="A240" s="9"/>
      <c r="B240" s="9"/>
      <c r="C240" s="9"/>
      <c r="D240" s="9"/>
      <c r="E240" s="9"/>
      <c r="F240" s="10"/>
      <c r="G240" s="9"/>
    </row>
    <row r="241" spans="1:7" x14ac:dyDescent="0.45">
      <c r="A241" s="9"/>
      <c r="B241" s="9"/>
      <c r="C241" s="9"/>
      <c r="D241" s="9"/>
      <c r="E241" s="9"/>
      <c r="F241" s="10"/>
      <c r="G241" s="9"/>
    </row>
    <row r="242" spans="1:7" x14ac:dyDescent="0.45">
      <c r="A242" s="9"/>
      <c r="B242" s="9"/>
      <c r="C242" s="9"/>
      <c r="D242" s="9"/>
      <c r="E242" s="9"/>
      <c r="F242" s="10"/>
      <c r="G242" s="9"/>
    </row>
    <row r="243" spans="1:7" x14ac:dyDescent="0.45">
      <c r="A243" s="9"/>
      <c r="B243" s="9"/>
      <c r="C243" s="9"/>
      <c r="D243" s="9"/>
      <c r="E243" s="9"/>
      <c r="F243" s="10"/>
      <c r="G243" s="9"/>
    </row>
    <row r="244" spans="1:7" x14ac:dyDescent="0.45">
      <c r="A244" s="9"/>
      <c r="B244" s="9"/>
      <c r="C244" s="9"/>
      <c r="D244" s="9"/>
      <c r="E244" s="9"/>
      <c r="F244" s="10"/>
      <c r="G244" s="9"/>
    </row>
    <row r="245" spans="1:7" x14ac:dyDescent="0.45">
      <c r="A245" s="9"/>
      <c r="B245" s="9"/>
      <c r="C245" s="9"/>
      <c r="D245" s="9"/>
      <c r="E245" s="9"/>
      <c r="F245" s="10"/>
      <c r="G245" s="9"/>
    </row>
    <row r="246" spans="1:7" x14ac:dyDescent="0.45">
      <c r="A246" s="9"/>
      <c r="B246" s="9"/>
      <c r="C246" s="9"/>
      <c r="D246" s="9"/>
      <c r="E246" s="9"/>
      <c r="F246" s="10"/>
      <c r="G246" s="9"/>
    </row>
    <row r="247" spans="1:7" x14ac:dyDescent="0.45">
      <c r="A247" s="9"/>
      <c r="B247" s="9"/>
      <c r="C247" s="9"/>
      <c r="D247" s="9"/>
      <c r="E247" s="9"/>
      <c r="F247" s="10"/>
      <c r="G247" s="9"/>
    </row>
    <row r="248" spans="1:7" x14ac:dyDescent="0.45">
      <c r="A248" s="9"/>
      <c r="B248" s="9"/>
      <c r="C248" s="9"/>
      <c r="D248" s="9"/>
      <c r="E248" s="9"/>
      <c r="F248" s="10"/>
      <c r="G248" s="9"/>
    </row>
    <row r="249" spans="1:7" x14ac:dyDescent="0.45">
      <c r="A249" s="9"/>
      <c r="B249" s="9"/>
      <c r="C249" s="9"/>
      <c r="D249" s="9"/>
      <c r="E249" s="9"/>
      <c r="F249" s="10"/>
      <c r="G249" s="9"/>
    </row>
    <row r="250" spans="1:7" x14ac:dyDescent="0.45">
      <c r="A250" s="9"/>
      <c r="B250" s="9"/>
      <c r="C250" s="9"/>
      <c r="D250" s="9"/>
      <c r="E250" s="9"/>
      <c r="F250" s="10"/>
      <c r="G250" s="9"/>
    </row>
    <row r="251" spans="1:7" x14ac:dyDescent="0.45">
      <c r="A251" s="9"/>
      <c r="B251" s="9"/>
      <c r="C251" s="9"/>
      <c r="D251" s="9"/>
      <c r="E251" s="9"/>
      <c r="F251" s="10"/>
      <c r="G251" s="9"/>
    </row>
    <row r="252" spans="1:7" x14ac:dyDescent="0.45">
      <c r="A252" s="9"/>
      <c r="B252" s="9"/>
      <c r="C252" s="9"/>
      <c r="D252" s="9"/>
      <c r="E252" s="9"/>
      <c r="F252" s="10"/>
      <c r="G252" s="9"/>
    </row>
    <row r="253" spans="1:7" x14ac:dyDescent="0.45">
      <c r="A253" s="9"/>
      <c r="B253" s="9"/>
      <c r="C253" s="9"/>
      <c r="D253" s="9"/>
      <c r="E253" s="9"/>
      <c r="F253" s="10"/>
      <c r="G253" s="9"/>
    </row>
    <row r="254" spans="1:7" x14ac:dyDescent="0.45">
      <c r="A254" s="9"/>
      <c r="B254" s="9"/>
      <c r="C254" s="9"/>
      <c r="D254" s="9"/>
      <c r="E254" s="9"/>
      <c r="F254" s="10"/>
      <c r="G254" s="9"/>
    </row>
    <row r="255" spans="1:7" x14ac:dyDescent="0.45">
      <c r="A255" s="9"/>
      <c r="B255" s="9"/>
      <c r="C255" s="9"/>
      <c r="D255" s="9"/>
      <c r="E255" s="9"/>
      <c r="F255" s="10"/>
      <c r="G255" s="9"/>
    </row>
    <row r="256" spans="1:7" x14ac:dyDescent="0.45">
      <c r="A256" s="9"/>
      <c r="B256" s="9"/>
      <c r="C256" s="9"/>
      <c r="D256" s="9"/>
      <c r="E256" s="9"/>
      <c r="F256" s="10"/>
      <c r="G256" s="9"/>
    </row>
    <row r="257" spans="1:7" x14ac:dyDescent="0.45">
      <c r="A257" s="9"/>
      <c r="B257" s="9"/>
      <c r="C257" s="9"/>
      <c r="D257" s="9"/>
      <c r="E257" s="9"/>
      <c r="F257" s="10"/>
      <c r="G257" s="9"/>
    </row>
    <row r="258" spans="1:7" x14ac:dyDescent="0.45">
      <c r="A258" s="9"/>
      <c r="B258" s="9"/>
      <c r="C258" s="9"/>
      <c r="D258" s="9"/>
      <c r="E258" s="9"/>
      <c r="F258" s="10"/>
      <c r="G258" s="9"/>
    </row>
    <row r="259" spans="1:7" x14ac:dyDescent="0.45">
      <c r="A259" s="9"/>
      <c r="B259" s="9"/>
      <c r="C259" s="9"/>
      <c r="D259" s="9"/>
      <c r="E259" s="9"/>
      <c r="F259" s="10"/>
      <c r="G259" s="9"/>
    </row>
    <row r="260" spans="1:7" x14ac:dyDescent="0.45">
      <c r="A260" s="9"/>
      <c r="B260" s="9"/>
      <c r="C260" s="9"/>
      <c r="D260" s="9"/>
      <c r="E260" s="9"/>
      <c r="F260" s="10"/>
      <c r="G260" s="9"/>
    </row>
    <row r="261" spans="1:7" x14ac:dyDescent="0.45">
      <c r="A261" s="9"/>
      <c r="B261" s="9"/>
      <c r="C261" s="9"/>
      <c r="D261" s="9"/>
      <c r="E261" s="9"/>
      <c r="F261" s="10"/>
      <c r="G261" s="9"/>
    </row>
    <row r="262" spans="1:7" x14ac:dyDescent="0.45">
      <c r="A262" s="9"/>
      <c r="B262" s="9"/>
      <c r="C262" s="9"/>
      <c r="D262" s="9"/>
      <c r="E262" s="9"/>
      <c r="F262" s="10"/>
      <c r="G262" s="9"/>
    </row>
    <row r="263" spans="1:7" x14ac:dyDescent="0.45">
      <c r="A263" s="9"/>
      <c r="B263" s="9"/>
      <c r="C263" s="9"/>
      <c r="D263" s="9"/>
      <c r="E263" s="9"/>
      <c r="F263" s="10"/>
      <c r="G263" s="9"/>
    </row>
    <row r="264" spans="1:7" x14ac:dyDescent="0.45">
      <c r="A264" s="9"/>
      <c r="B264" s="9"/>
      <c r="C264" s="9"/>
      <c r="D264" s="9"/>
      <c r="E264" s="9"/>
      <c r="F264" s="10"/>
      <c r="G264" s="9"/>
    </row>
    <row r="265" spans="1:7" x14ac:dyDescent="0.45">
      <c r="A265" s="9"/>
      <c r="B265" s="9"/>
      <c r="C265" s="9"/>
      <c r="D265" s="9"/>
      <c r="E265" s="9"/>
      <c r="F265" s="10"/>
      <c r="G265" s="9"/>
    </row>
    <row r="266" spans="1:7" x14ac:dyDescent="0.45">
      <c r="A266" s="9"/>
      <c r="B266" s="9"/>
      <c r="C266" s="9"/>
      <c r="D266" s="9"/>
      <c r="E266" s="9"/>
      <c r="F266" s="10"/>
      <c r="G266" s="9"/>
    </row>
    <row r="267" spans="1:7" x14ac:dyDescent="0.45">
      <c r="A267" s="9"/>
      <c r="B267" s="9"/>
      <c r="C267" s="9"/>
      <c r="D267" s="9"/>
      <c r="E267" s="9"/>
      <c r="F267" s="10"/>
      <c r="G267" s="9"/>
    </row>
    <row r="268" spans="1:7" x14ac:dyDescent="0.45">
      <c r="A268" s="9"/>
      <c r="B268" s="9"/>
      <c r="C268" s="9"/>
      <c r="D268" s="9"/>
      <c r="E268" s="9"/>
      <c r="F268" s="10"/>
      <c r="G268" s="9"/>
    </row>
    <row r="269" spans="1:7" x14ac:dyDescent="0.45">
      <c r="A269" s="9"/>
      <c r="B269" s="9"/>
      <c r="C269" s="9"/>
      <c r="D269" s="9"/>
      <c r="E269" s="9"/>
      <c r="F269" s="10"/>
      <c r="G269" s="9"/>
    </row>
    <row r="270" spans="1:7" x14ac:dyDescent="0.45">
      <c r="A270" s="9"/>
      <c r="B270" s="9"/>
      <c r="C270" s="9"/>
      <c r="D270" s="9"/>
      <c r="E270" s="9"/>
      <c r="F270" s="10"/>
      <c r="G270" s="9"/>
    </row>
    <row r="271" spans="1:7" x14ac:dyDescent="0.45">
      <c r="A271" s="9"/>
      <c r="B271" s="9"/>
      <c r="C271" s="9"/>
      <c r="D271" s="9"/>
      <c r="E271" s="9"/>
      <c r="F271" s="10"/>
      <c r="G271" s="9"/>
    </row>
    <row r="272" spans="1:7" x14ac:dyDescent="0.45">
      <c r="A272" s="9"/>
      <c r="B272" s="9"/>
      <c r="C272" s="9"/>
      <c r="D272" s="9"/>
      <c r="E272" s="9"/>
      <c r="F272" s="10"/>
      <c r="G272" s="9"/>
    </row>
    <row r="273" spans="1:7" x14ac:dyDescent="0.45">
      <c r="A273" s="9"/>
      <c r="B273" s="9"/>
      <c r="C273" s="9"/>
      <c r="D273" s="9"/>
      <c r="E273" s="9"/>
      <c r="F273" s="10"/>
      <c r="G273" s="9"/>
    </row>
    <row r="274" spans="1:7" x14ac:dyDescent="0.45">
      <c r="A274" s="9"/>
      <c r="B274" s="9"/>
      <c r="C274" s="9"/>
      <c r="D274" s="9"/>
      <c r="E274" s="9"/>
      <c r="F274" s="10"/>
      <c r="G274" s="9"/>
    </row>
    <row r="275" spans="1:7" x14ac:dyDescent="0.45">
      <c r="A275" s="9"/>
      <c r="B275" s="9"/>
      <c r="C275" s="9"/>
      <c r="D275" s="9"/>
      <c r="E275" s="9"/>
      <c r="F275" s="10"/>
      <c r="G275" s="9"/>
    </row>
    <row r="276" spans="1:7" x14ac:dyDescent="0.45">
      <c r="A276" s="9"/>
      <c r="B276" s="9"/>
      <c r="C276" s="9"/>
      <c r="D276" s="9"/>
      <c r="E276" s="9"/>
      <c r="F276" s="10"/>
      <c r="G276" s="9"/>
    </row>
    <row r="277" spans="1:7" x14ac:dyDescent="0.45">
      <c r="A277" s="9"/>
      <c r="B277" s="9"/>
      <c r="C277" s="9"/>
      <c r="D277" s="9"/>
      <c r="E277" s="9"/>
      <c r="F277" s="10"/>
      <c r="G277" s="9"/>
    </row>
    <row r="278" spans="1:7" x14ac:dyDescent="0.45">
      <c r="A278" s="9"/>
      <c r="B278" s="9"/>
      <c r="C278" s="9"/>
      <c r="D278" s="9"/>
      <c r="E278" s="9"/>
      <c r="F278" s="10"/>
      <c r="G278" s="9"/>
    </row>
    <row r="279" spans="1:7" x14ac:dyDescent="0.45">
      <c r="A279" s="9"/>
      <c r="B279" s="9"/>
      <c r="C279" s="9"/>
      <c r="D279" s="9"/>
      <c r="E279" s="9"/>
      <c r="F279" s="10"/>
      <c r="G279" s="9"/>
    </row>
    <row r="280" spans="1:7" x14ac:dyDescent="0.45">
      <c r="A280" s="9"/>
      <c r="B280" s="9"/>
      <c r="C280" s="9"/>
      <c r="D280" s="9"/>
      <c r="E280" s="9"/>
      <c r="F280" s="10"/>
      <c r="G280" s="9"/>
    </row>
    <row r="281" spans="1:7" x14ac:dyDescent="0.45">
      <c r="A281" s="9"/>
      <c r="B281" s="9"/>
      <c r="C281" s="9"/>
      <c r="D281" s="9"/>
      <c r="E281" s="9"/>
      <c r="F281" s="10"/>
      <c r="G281" s="9"/>
    </row>
    <row r="282" spans="1:7" x14ac:dyDescent="0.45">
      <c r="A282" s="9"/>
      <c r="B282" s="9"/>
      <c r="C282" s="9"/>
      <c r="D282" s="9"/>
      <c r="E282" s="9"/>
      <c r="F282" s="10"/>
      <c r="G282" s="9"/>
    </row>
    <row r="283" spans="1:7" x14ac:dyDescent="0.45">
      <c r="A283" s="9"/>
      <c r="B283" s="9"/>
      <c r="C283" s="9"/>
      <c r="D283" s="9"/>
      <c r="E283" s="9"/>
      <c r="F283" s="10"/>
      <c r="G283" s="9"/>
    </row>
    <row r="284" spans="1:7" x14ac:dyDescent="0.45">
      <c r="A284" s="9"/>
      <c r="B284" s="9"/>
      <c r="C284" s="9"/>
      <c r="D284" s="9"/>
      <c r="E284" s="9"/>
      <c r="F284" s="10"/>
      <c r="G284" s="9"/>
    </row>
    <row r="285" spans="1:7" x14ac:dyDescent="0.45">
      <c r="A285" s="9"/>
      <c r="B285" s="9"/>
      <c r="C285" s="9"/>
      <c r="D285" s="9"/>
      <c r="E285" s="9"/>
      <c r="F285" s="10"/>
      <c r="G285" s="9"/>
    </row>
    <row r="286" spans="1:7" x14ac:dyDescent="0.45">
      <c r="A286" s="9"/>
      <c r="B286" s="9"/>
      <c r="C286" s="9"/>
      <c r="D286" s="9"/>
      <c r="E286" s="9"/>
      <c r="F286" s="10"/>
      <c r="G286" s="9"/>
    </row>
    <row r="287" spans="1:7" x14ac:dyDescent="0.45">
      <c r="A287" s="9"/>
      <c r="B287" s="9"/>
      <c r="C287" s="9"/>
      <c r="D287" s="9"/>
      <c r="E287" s="9"/>
      <c r="F287" s="10"/>
      <c r="G287" s="9"/>
    </row>
    <row r="288" spans="1:7" x14ac:dyDescent="0.45">
      <c r="A288" s="9"/>
      <c r="B288" s="9"/>
      <c r="C288" s="9"/>
      <c r="D288" s="9"/>
      <c r="E288" s="9"/>
      <c r="F288" s="10"/>
      <c r="G288" s="9"/>
    </row>
    <row r="289" spans="1:7" x14ac:dyDescent="0.45">
      <c r="A289" s="9"/>
      <c r="B289" s="9"/>
      <c r="C289" s="9"/>
      <c r="D289" s="9"/>
      <c r="E289" s="9"/>
      <c r="F289" s="10"/>
      <c r="G289" s="9"/>
    </row>
    <row r="290" spans="1:7" x14ac:dyDescent="0.45">
      <c r="A290" s="9"/>
      <c r="B290" s="9"/>
      <c r="C290" s="9"/>
      <c r="D290" s="9"/>
      <c r="E290" s="9"/>
      <c r="F290" s="10"/>
      <c r="G290" s="9"/>
    </row>
    <row r="291" spans="1:7" x14ac:dyDescent="0.45">
      <c r="A291" s="9"/>
      <c r="B291" s="9"/>
      <c r="C291" s="9"/>
      <c r="D291" s="9"/>
      <c r="E291" s="9"/>
      <c r="F291" s="10"/>
      <c r="G291" s="9"/>
    </row>
    <row r="292" spans="1:7" x14ac:dyDescent="0.45">
      <c r="A292" s="9"/>
      <c r="B292" s="9"/>
      <c r="C292" s="9"/>
      <c r="D292" s="9"/>
      <c r="E292" s="9"/>
      <c r="F292" s="10"/>
      <c r="G292" s="9"/>
    </row>
    <row r="293" spans="1:7" x14ac:dyDescent="0.45">
      <c r="A293" s="9"/>
      <c r="B293" s="9"/>
      <c r="C293" s="9"/>
      <c r="D293" s="9"/>
      <c r="E293" s="9"/>
      <c r="F293" s="10"/>
      <c r="G293" s="9"/>
    </row>
    <row r="294" spans="1:7" x14ac:dyDescent="0.45">
      <c r="A294" s="9"/>
      <c r="B294" s="9"/>
      <c r="C294" s="9"/>
      <c r="D294" s="9"/>
      <c r="E294" s="9"/>
      <c r="F294" s="10"/>
      <c r="G294" s="9"/>
    </row>
    <row r="295" spans="1:7" x14ac:dyDescent="0.45">
      <c r="A295" s="9"/>
      <c r="B295" s="9"/>
      <c r="C295" s="9"/>
      <c r="D295" s="9"/>
      <c r="E295" s="9"/>
      <c r="F295" s="10"/>
      <c r="G295" s="9"/>
    </row>
    <row r="296" spans="1:7" x14ac:dyDescent="0.45">
      <c r="A296" s="9"/>
      <c r="B296" s="9"/>
      <c r="C296" s="9"/>
      <c r="D296" s="9"/>
      <c r="E296" s="9"/>
      <c r="F296" s="10"/>
      <c r="G296" s="9"/>
    </row>
    <row r="297" spans="1:7" x14ac:dyDescent="0.45">
      <c r="A297" s="9"/>
      <c r="B297" s="9"/>
      <c r="C297" s="9"/>
      <c r="D297" s="9"/>
      <c r="E297" s="9"/>
      <c r="F297" s="10"/>
      <c r="G297" s="9"/>
    </row>
    <row r="298" spans="1:7" x14ac:dyDescent="0.45">
      <c r="A298" s="9"/>
      <c r="B298" s="9"/>
      <c r="C298" s="9"/>
      <c r="D298" s="9"/>
      <c r="E298" s="9"/>
      <c r="F298" s="10"/>
      <c r="G298" s="9"/>
    </row>
    <row r="299" spans="1:7" x14ac:dyDescent="0.45">
      <c r="A299" s="9"/>
      <c r="B299" s="9"/>
      <c r="C299" s="9"/>
      <c r="D299" s="9"/>
      <c r="E299" s="9"/>
      <c r="F299" s="10"/>
      <c r="G299" s="9"/>
    </row>
    <row r="300" spans="1:7" x14ac:dyDescent="0.45">
      <c r="A300" s="9"/>
      <c r="B300" s="9"/>
      <c r="C300" s="9"/>
      <c r="D300" s="9"/>
      <c r="E300" s="9"/>
      <c r="F300" s="10"/>
      <c r="G300" s="9"/>
    </row>
    <row r="301" spans="1:7" x14ac:dyDescent="0.45">
      <c r="A301" s="9"/>
      <c r="B301" s="9"/>
      <c r="C301" s="9"/>
      <c r="D301" s="9"/>
      <c r="E301" s="9"/>
      <c r="F301" s="10"/>
      <c r="G301" s="9"/>
    </row>
    <row r="302" spans="1:7" x14ac:dyDescent="0.45">
      <c r="A302" s="9"/>
      <c r="B302" s="9"/>
      <c r="C302" s="9"/>
      <c r="D302" s="9"/>
      <c r="E302" s="9"/>
      <c r="F302" s="10"/>
      <c r="G302" s="9"/>
    </row>
    <row r="303" spans="1:7" x14ac:dyDescent="0.45">
      <c r="A303" s="9"/>
      <c r="B303" s="9"/>
      <c r="C303" s="9"/>
      <c r="D303" s="9"/>
      <c r="E303" s="9"/>
      <c r="F303" s="10"/>
      <c r="G303" s="9"/>
    </row>
    <row r="304" spans="1:7" x14ac:dyDescent="0.45">
      <c r="A304" s="9"/>
      <c r="B304" s="9"/>
      <c r="C304" s="9"/>
      <c r="D304" s="9"/>
      <c r="E304" s="9"/>
      <c r="F304" s="10"/>
      <c r="G304" s="9"/>
    </row>
    <row r="305" spans="1:7" x14ac:dyDescent="0.45">
      <c r="A305" s="9"/>
      <c r="B305" s="9"/>
      <c r="C305" s="9"/>
      <c r="D305" s="9"/>
      <c r="E305" s="9"/>
      <c r="F305" s="10"/>
      <c r="G305" s="9"/>
    </row>
    <row r="306" spans="1:7" x14ac:dyDescent="0.45">
      <c r="A306" s="9"/>
      <c r="B306" s="9"/>
      <c r="C306" s="9"/>
      <c r="D306" s="9"/>
      <c r="E306" s="9"/>
      <c r="F306" s="10"/>
      <c r="G306" s="9"/>
    </row>
    <row r="307" spans="1:7" x14ac:dyDescent="0.45">
      <c r="A307" s="9"/>
      <c r="B307" s="9"/>
      <c r="C307" s="9"/>
      <c r="D307" s="9"/>
      <c r="E307" s="9"/>
      <c r="F307" s="10"/>
      <c r="G307" s="9"/>
    </row>
    <row r="308" spans="1:7" x14ac:dyDescent="0.45">
      <c r="A308" s="9"/>
      <c r="B308" s="9"/>
      <c r="C308" s="9"/>
      <c r="D308" s="9"/>
      <c r="E308" s="9"/>
      <c r="F308" s="10"/>
      <c r="G308" s="9"/>
    </row>
    <row r="309" spans="1:7" x14ac:dyDescent="0.45">
      <c r="A309" s="9"/>
      <c r="B309" s="9"/>
      <c r="C309" s="9"/>
      <c r="D309" s="9"/>
      <c r="E309" s="9"/>
      <c r="F309" s="10"/>
      <c r="G309" s="9"/>
    </row>
    <row r="310" spans="1:7" x14ac:dyDescent="0.45">
      <c r="A310" s="9"/>
      <c r="B310" s="9"/>
      <c r="C310" s="9"/>
      <c r="D310" s="9"/>
      <c r="E310" s="9"/>
      <c r="F310" s="10"/>
      <c r="G310" s="9"/>
    </row>
    <row r="311" spans="1:7" x14ac:dyDescent="0.45">
      <c r="A311" s="9"/>
      <c r="B311" s="9"/>
      <c r="C311" s="9"/>
      <c r="D311" s="9"/>
      <c r="E311" s="9"/>
      <c r="F311" s="10"/>
      <c r="G311" s="9"/>
    </row>
    <row r="312" spans="1:7" x14ac:dyDescent="0.45">
      <c r="A312" s="9"/>
      <c r="B312" s="9"/>
      <c r="C312" s="9"/>
      <c r="D312" s="9"/>
      <c r="E312" s="9"/>
      <c r="F312" s="10"/>
      <c r="G312" s="9"/>
    </row>
    <row r="313" spans="1:7" x14ac:dyDescent="0.45">
      <c r="A313" s="9"/>
      <c r="B313" s="9"/>
      <c r="C313" s="9"/>
      <c r="D313" s="9"/>
      <c r="E313" s="9"/>
      <c r="F313" s="10"/>
      <c r="G313" s="9"/>
    </row>
    <row r="314" spans="1:7" x14ac:dyDescent="0.45">
      <c r="A314" s="9"/>
      <c r="B314" s="9"/>
      <c r="C314" s="9"/>
      <c r="D314" s="9"/>
      <c r="E314" s="9"/>
      <c r="F314" s="10"/>
      <c r="G314" s="9"/>
    </row>
    <row r="315" spans="1:7" x14ac:dyDescent="0.45">
      <c r="A315" s="9"/>
      <c r="B315" s="9"/>
      <c r="C315" s="9"/>
      <c r="D315" s="9"/>
      <c r="E315" s="9"/>
      <c r="F315" s="10"/>
      <c r="G315" s="9"/>
    </row>
    <row r="316" spans="1:7" x14ac:dyDescent="0.45">
      <c r="A316" s="9"/>
      <c r="B316" s="9"/>
      <c r="C316" s="9"/>
      <c r="D316" s="9"/>
      <c r="E316" s="9"/>
      <c r="F316" s="10"/>
      <c r="G316" s="9"/>
    </row>
    <row r="317" spans="1:7" x14ac:dyDescent="0.45">
      <c r="A317" s="9"/>
      <c r="B317" s="9"/>
      <c r="C317" s="9"/>
      <c r="D317" s="9"/>
      <c r="E317" s="9"/>
      <c r="F317" s="10"/>
      <c r="G317" s="9"/>
    </row>
    <row r="318" spans="1:7" x14ac:dyDescent="0.45">
      <c r="A318" s="9"/>
      <c r="B318" s="9"/>
      <c r="C318" s="9"/>
      <c r="D318" s="9"/>
      <c r="E318" s="9"/>
      <c r="F318" s="10"/>
      <c r="G318" s="9"/>
    </row>
    <row r="319" spans="1:7" x14ac:dyDescent="0.45">
      <c r="A319" s="9"/>
      <c r="B319" s="9"/>
      <c r="C319" s="9"/>
      <c r="D319" s="9"/>
      <c r="E319" s="9"/>
      <c r="F319" s="10"/>
      <c r="G319" s="9"/>
    </row>
    <row r="320" spans="1:7" x14ac:dyDescent="0.45">
      <c r="A320" s="9"/>
      <c r="B320" s="9"/>
      <c r="C320" s="9"/>
      <c r="D320" s="9"/>
      <c r="E320" s="9"/>
      <c r="F320" s="10"/>
      <c r="G320" s="9"/>
    </row>
    <row r="321" spans="1:7" x14ac:dyDescent="0.45">
      <c r="A321" s="9"/>
      <c r="B321" s="9"/>
      <c r="C321" s="9"/>
      <c r="D321" s="9"/>
      <c r="E321" s="9"/>
      <c r="F321" s="10"/>
      <c r="G321" s="9"/>
    </row>
    <row r="322" spans="1:7" x14ac:dyDescent="0.45">
      <c r="A322" s="9"/>
      <c r="B322" s="9"/>
      <c r="C322" s="9"/>
      <c r="D322" s="9"/>
      <c r="E322" s="9"/>
      <c r="F322" s="10"/>
      <c r="G322" s="9"/>
    </row>
    <row r="323" spans="1:7" x14ac:dyDescent="0.45">
      <c r="A323" s="9"/>
      <c r="B323" s="9"/>
      <c r="C323" s="9"/>
      <c r="D323" s="9"/>
      <c r="E323" s="9"/>
      <c r="F323" s="10"/>
      <c r="G323" s="9"/>
    </row>
    <row r="324" spans="1:7" x14ac:dyDescent="0.45">
      <c r="A324" s="9"/>
      <c r="B324" s="9"/>
      <c r="C324" s="9"/>
      <c r="D324" s="9"/>
      <c r="E324" s="9"/>
      <c r="F324" s="10"/>
      <c r="G324" s="9"/>
    </row>
    <row r="325" spans="1:7" x14ac:dyDescent="0.45">
      <c r="A325" s="9"/>
      <c r="B325" s="9"/>
      <c r="C325" s="9"/>
      <c r="D325" s="9"/>
      <c r="E325" s="9"/>
      <c r="F325" s="10"/>
      <c r="G325" s="9"/>
    </row>
    <row r="326" spans="1:7" x14ac:dyDescent="0.45">
      <c r="A326" s="9"/>
      <c r="B326" s="9"/>
      <c r="C326" s="9"/>
      <c r="D326" s="9"/>
      <c r="E326" s="9"/>
      <c r="F326" s="10"/>
      <c r="G326" s="9"/>
    </row>
    <row r="327" spans="1:7" x14ac:dyDescent="0.45">
      <c r="A327" s="9"/>
      <c r="B327" s="9"/>
      <c r="C327" s="9"/>
      <c r="D327" s="9"/>
      <c r="E327" s="9"/>
      <c r="F327" s="10"/>
      <c r="G327" s="9"/>
    </row>
    <row r="328" spans="1:7" x14ac:dyDescent="0.45">
      <c r="A328" s="9"/>
      <c r="B328" s="9"/>
      <c r="C328" s="9"/>
      <c r="D328" s="9"/>
      <c r="E328" s="9"/>
      <c r="F328" s="10"/>
      <c r="G328" s="9"/>
    </row>
    <row r="329" spans="1:7" x14ac:dyDescent="0.45">
      <c r="A329" s="9"/>
      <c r="B329" s="9"/>
      <c r="C329" s="9"/>
      <c r="D329" s="9"/>
      <c r="E329" s="9"/>
      <c r="F329" s="10"/>
      <c r="G329" s="9"/>
    </row>
    <row r="330" spans="1:7" x14ac:dyDescent="0.45">
      <c r="A330" s="9"/>
      <c r="B330" s="9"/>
      <c r="C330" s="9"/>
      <c r="D330" s="9"/>
      <c r="E330" s="9"/>
      <c r="F330" s="10"/>
      <c r="G330" s="9"/>
    </row>
    <row r="331" spans="1:7" x14ac:dyDescent="0.45">
      <c r="A331" s="9"/>
      <c r="B331" s="9"/>
      <c r="C331" s="9"/>
      <c r="D331" s="9"/>
      <c r="E331" s="9"/>
      <c r="F331" s="10"/>
      <c r="G331" s="9"/>
    </row>
    <row r="332" spans="1:7" x14ac:dyDescent="0.45">
      <c r="A332" s="9"/>
      <c r="B332" s="9"/>
      <c r="C332" s="9"/>
      <c r="D332" s="9"/>
      <c r="E332" s="9"/>
      <c r="F332" s="10"/>
      <c r="G332" s="9"/>
    </row>
    <row r="333" spans="1:7" x14ac:dyDescent="0.45">
      <c r="A333" s="9"/>
      <c r="B333" s="9"/>
      <c r="C333" s="9"/>
      <c r="D333" s="9"/>
      <c r="E333" s="9"/>
      <c r="F333" s="10"/>
      <c r="G333" s="9"/>
    </row>
    <row r="334" spans="1:7" x14ac:dyDescent="0.45">
      <c r="A334" s="9"/>
      <c r="B334" s="9"/>
      <c r="C334" s="9"/>
      <c r="D334" s="9"/>
      <c r="E334" s="9"/>
      <c r="F334" s="10"/>
      <c r="G334" s="9"/>
    </row>
    <row r="335" spans="1:7" x14ac:dyDescent="0.45">
      <c r="A335" s="9"/>
      <c r="B335" s="9"/>
      <c r="C335" s="9"/>
      <c r="D335" s="9"/>
      <c r="E335" s="9"/>
      <c r="F335" s="10"/>
      <c r="G335" s="9"/>
    </row>
    <row r="336" spans="1:7" x14ac:dyDescent="0.45">
      <c r="A336" s="9"/>
      <c r="B336" s="9"/>
      <c r="C336" s="9"/>
      <c r="D336" s="9"/>
      <c r="E336" s="9"/>
      <c r="F336" s="10"/>
      <c r="G336" s="9"/>
    </row>
    <row r="337" spans="1:7" x14ac:dyDescent="0.45">
      <c r="A337" s="9"/>
      <c r="B337" s="9"/>
      <c r="C337" s="9"/>
      <c r="D337" s="9"/>
      <c r="E337" s="9"/>
      <c r="F337" s="10"/>
      <c r="G337" s="9"/>
    </row>
    <row r="338" spans="1:7" x14ac:dyDescent="0.45">
      <c r="A338" s="9"/>
      <c r="B338" s="9"/>
      <c r="C338" s="9"/>
      <c r="D338" s="9"/>
      <c r="E338" s="9"/>
      <c r="F338" s="10"/>
      <c r="G338" s="9"/>
    </row>
    <row r="339" spans="1:7" x14ac:dyDescent="0.45">
      <c r="A339" s="9"/>
      <c r="B339" s="9"/>
      <c r="C339" s="9"/>
      <c r="D339" s="9"/>
      <c r="E339" s="9"/>
      <c r="F339" s="10"/>
      <c r="G339" s="9"/>
    </row>
    <row r="340" spans="1:7" x14ac:dyDescent="0.45">
      <c r="A340" s="9"/>
      <c r="B340" s="9"/>
      <c r="C340" s="9"/>
      <c r="D340" s="9"/>
      <c r="E340" s="9"/>
      <c r="F340" s="10"/>
      <c r="G340" s="9"/>
    </row>
    <row r="341" spans="1:7" x14ac:dyDescent="0.45">
      <c r="A341" s="9"/>
      <c r="B341" s="9"/>
      <c r="C341" s="9"/>
      <c r="D341" s="9"/>
      <c r="E341" s="9"/>
      <c r="F341" s="10"/>
      <c r="G341" s="9"/>
    </row>
    <row r="342" spans="1:7" x14ac:dyDescent="0.45">
      <c r="A342" s="9"/>
      <c r="B342" s="9"/>
      <c r="C342" s="9"/>
      <c r="D342" s="9"/>
      <c r="E342" s="9"/>
      <c r="F342" s="10"/>
      <c r="G342" s="9"/>
    </row>
    <row r="343" spans="1:7" x14ac:dyDescent="0.45">
      <c r="A343" s="9"/>
      <c r="B343" s="9"/>
      <c r="C343" s="9"/>
      <c r="D343" s="9"/>
      <c r="E343" s="9"/>
      <c r="F343" s="10"/>
      <c r="G343" s="9"/>
    </row>
    <row r="344" spans="1:7" x14ac:dyDescent="0.45">
      <c r="A344" s="9"/>
      <c r="B344" s="9"/>
      <c r="C344" s="9"/>
      <c r="D344" s="9"/>
      <c r="E344" s="9"/>
      <c r="F344" s="10"/>
      <c r="G344" s="9"/>
    </row>
    <row r="345" spans="1:7" x14ac:dyDescent="0.45">
      <c r="A345" s="9"/>
      <c r="B345" s="9"/>
      <c r="C345" s="9"/>
      <c r="D345" s="9"/>
      <c r="E345" s="9"/>
      <c r="F345" s="10"/>
      <c r="G345" s="9"/>
    </row>
    <row r="346" spans="1:7" x14ac:dyDescent="0.45">
      <c r="A346" s="9"/>
      <c r="B346" s="9"/>
      <c r="C346" s="9"/>
      <c r="D346" s="9"/>
      <c r="E346" s="9"/>
      <c r="F346" s="10"/>
      <c r="G346" s="9"/>
    </row>
    <row r="347" spans="1:7" x14ac:dyDescent="0.45">
      <c r="A347" s="9"/>
      <c r="B347" s="9"/>
      <c r="C347" s="9"/>
      <c r="D347" s="9"/>
      <c r="E347" s="9"/>
      <c r="F347" s="10"/>
      <c r="G347" s="9"/>
    </row>
    <row r="348" spans="1:7" x14ac:dyDescent="0.45">
      <c r="A348" s="9"/>
      <c r="B348" s="9"/>
      <c r="C348" s="9"/>
      <c r="D348" s="9"/>
      <c r="E348" s="9"/>
      <c r="F348" s="10"/>
      <c r="G348" s="9"/>
    </row>
    <row r="349" spans="1:7" x14ac:dyDescent="0.45">
      <c r="A349" s="9"/>
      <c r="B349" s="9"/>
      <c r="C349" s="9"/>
      <c r="D349" s="9"/>
      <c r="E349" s="9"/>
      <c r="F349" s="10"/>
      <c r="G349" s="9"/>
    </row>
    <row r="350" spans="1:7" x14ac:dyDescent="0.45">
      <c r="A350" s="9"/>
      <c r="B350" s="9"/>
      <c r="C350" s="9"/>
      <c r="D350" s="9"/>
      <c r="E350" s="9"/>
      <c r="F350" s="10"/>
      <c r="G350" s="9"/>
    </row>
    <row r="351" spans="1:7" x14ac:dyDescent="0.45">
      <c r="A351" s="9"/>
      <c r="B351" s="9"/>
      <c r="C351" s="9"/>
      <c r="D351" s="9"/>
      <c r="E351" s="9"/>
      <c r="F351" s="10"/>
      <c r="G351" s="9"/>
    </row>
    <row r="352" spans="1:7" x14ac:dyDescent="0.45">
      <c r="A352" s="9"/>
      <c r="B352" s="9"/>
      <c r="C352" s="9"/>
      <c r="D352" s="9"/>
      <c r="E352" s="9"/>
      <c r="F352" s="10"/>
      <c r="G352" s="9"/>
    </row>
    <row r="353" spans="1:7" x14ac:dyDescent="0.45">
      <c r="A353" s="9"/>
      <c r="B353" s="9"/>
      <c r="C353" s="9"/>
      <c r="D353" s="9"/>
      <c r="E353" s="9"/>
      <c r="F353" s="10"/>
      <c r="G353" s="9"/>
    </row>
    <row r="354" spans="1:7" x14ac:dyDescent="0.45">
      <c r="A354" s="9"/>
      <c r="B354" s="9"/>
      <c r="C354" s="9"/>
      <c r="D354" s="9"/>
      <c r="E354" s="9"/>
      <c r="F354" s="10"/>
      <c r="G354" s="9"/>
    </row>
    <row r="355" spans="1:7" x14ac:dyDescent="0.45">
      <c r="A355" s="9"/>
      <c r="B355" s="9"/>
      <c r="C355" s="9"/>
      <c r="D355" s="9"/>
      <c r="E355" s="9"/>
      <c r="F355" s="10"/>
      <c r="G355" s="9"/>
    </row>
    <row r="356" spans="1:7" x14ac:dyDescent="0.45">
      <c r="A356" s="9"/>
      <c r="B356" s="9"/>
      <c r="C356" s="9"/>
      <c r="D356" s="9"/>
      <c r="E356" s="9"/>
      <c r="F356" s="10"/>
      <c r="G356" s="9"/>
    </row>
    <row r="357" spans="1:7" x14ac:dyDescent="0.45">
      <c r="A357" s="9"/>
      <c r="B357" s="9"/>
      <c r="C357" s="9"/>
      <c r="D357" s="9"/>
      <c r="E357" s="9"/>
      <c r="F357" s="10"/>
      <c r="G357" s="9"/>
    </row>
    <row r="358" spans="1:7" x14ac:dyDescent="0.45">
      <c r="A358" s="9"/>
      <c r="B358" s="9"/>
      <c r="C358" s="9"/>
      <c r="D358" s="9"/>
      <c r="E358" s="9"/>
      <c r="F358" s="10"/>
      <c r="G358" s="9"/>
    </row>
    <row r="359" spans="1:7" x14ac:dyDescent="0.45">
      <c r="A359" s="9"/>
      <c r="B359" s="9"/>
      <c r="C359" s="9"/>
      <c r="D359" s="9"/>
      <c r="E359" s="9"/>
      <c r="F359" s="10"/>
      <c r="G359" s="9"/>
    </row>
    <row r="360" spans="1:7" x14ac:dyDescent="0.45">
      <c r="A360" s="9"/>
      <c r="B360" s="9"/>
      <c r="C360" s="9"/>
      <c r="D360" s="9"/>
      <c r="E360" s="9"/>
      <c r="F360" s="10"/>
      <c r="G360" s="9"/>
    </row>
    <row r="361" spans="1:7" x14ac:dyDescent="0.45">
      <c r="A361" s="9"/>
      <c r="B361" s="9"/>
      <c r="C361" s="9"/>
      <c r="D361" s="9"/>
      <c r="E361" s="9"/>
      <c r="F361" s="10"/>
      <c r="G361" s="9"/>
    </row>
    <row r="362" spans="1:7" x14ac:dyDescent="0.45">
      <c r="A362" s="9"/>
      <c r="B362" s="9"/>
      <c r="C362" s="9"/>
      <c r="D362" s="9"/>
      <c r="E362" s="9"/>
      <c r="F362" s="10"/>
      <c r="G362" s="9"/>
    </row>
    <row r="363" spans="1:7" x14ac:dyDescent="0.45">
      <c r="A363" s="9"/>
      <c r="B363" s="9"/>
      <c r="C363" s="9"/>
      <c r="D363" s="9"/>
      <c r="E363" s="9"/>
      <c r="F363" s="10"/>
      <c r="G363" s="9"/>
    </row>
    <row r="364" spans="1:7" x14ac:dyDescent="0.45">
      <c r="A364" s="9"/>
      <c r="B364" s="9"/>
      <c r="C364" s="9"/>
      <c r="D364" s="9"/>
      <c r="E364" s="9"/>
      <c r="F364" s="10"/>
      <c r="G364" s="9"/>
    </row>
    <row r="365" spans="1:7" x14ac:dyDescent="0.45">
      <c r="A365" s="9"/>
      <c r="B365" s="9"/>
      <c r="C365" s="9"/>
      <c r="D365" s="9"/>
      <c r="E365" s="9"/>
      <c r="F365" s="10"/>
      <c r="G365" s="9"/>
    </row>
    <row r="366" spans="1:7" x14ac:dyDescent="0.45">
      <c r="A366" s="9"/>
      <c r="B366" s="9"/>
      <c r="C366" s="9"/>
      <c r="D366" s="9"/>
      <c r="E366" s="9"/>
      <c r="F366" s="10"/>
      <c r="G366" s="9"/>
    </row>
    <row r="367" spans="1:7" x14ac:dyDescent="0.45">
      <c r="A367" s="9"/>
      <c r="B367" s="9"/>
      <c r="C367" s="9"/>
      <c r="D367" s="9"/>
      <c r="E367" s="9"/>
      <c r="F367" s="10"/>
      <c r="G367" s="9"/>
    </row>
    <row r="368" spans="1:7" x14ac:dyDescent="0.45">
      <c r="A368" s="9"/>
      <c r="B368" s="9"/>
      <c r="C368" s="9"/>
      <c r="D368" s="9"/>
      <c r="E368" s="9"/>
      <c r="F368" s="10"/>
      <c r="G368" s="9"/>
    </row>
    <row r="369" spans="1:7" x14ac:dyDescent="0.45">
      <c r="A369" s="9"/>
      <c r="B369" s="9"/>
      <c r="C369" s="9"/>
      <c r="D369" s="9"/>
      <c r="E369" s="9"/>
      <c r="F369" s="10"/>
      <c r="G369" s="9"/>
    </row>
    <row r="370" spans="1:7" x14ac:dyDescent="0.45">
      <c r="A370" s="9"/>
      <c r="B370" s="9"/>
      <c r="C370" s="9"/>
      <c r="D370" s="9"/>
      <c r="E370" s="9"/>
      <c r="F370" s="10"/>
      <c r="G370" s="9"/>
    </row>
    <row r="371" spans="1:7" x14ac:dyDescent="0.45">
      <c r="A371" s="9"/>
      <c r="B371" s="9"/>
      <c r="C371" s="9"/>
      <c r="D371" s="9"/>
      <c r="E371" s="9"/>
      <c r="F371" s="10"/>
      <c r="G371" s="9"/>
    </row>
    <row r="372" spans="1:7" x14ac:dyDescent="0.45">
      <c r="A372" s="9"/>
      <c r="B372" s="9"/>
      <c r="C372" s="9"/>
      <c r="D372" s="9"/>
      <c r="E372" s="9"/>
      <c r="F372" s="10"/>
      <c r="G372" s="9"/>
    </row>
    <row r="373" spans="1:7" x14ac:dyDescent="0.45">
      <c r="A373" s="9"/>
      <c r="B373" s="9"/>
      <c r="C373" s="9"/>
      <c r="D373" s="9"/>
      <c r="E373" s="9"/>
      <c r="F373" s="10"/>
      <c r="G373" s="9"/>
    </row>
    <row r="374" spans="1:7" x14ac:dyDescent="0.45">
      <c r="A374" s="9"/>
      <c r="B374" s="9"/>
      <c r="C374" s="9"/>
      <c r="D374" s="9"/>
      <c r="E374" s="9"/>
      <c r="F374" s="10"/>
      <c r="G374" s="9"/>
    </row>
    <row r="375" spans="1:7" x14ac:dyDescent="0.45">
      <c r="A375" s="9"/>
      <c r="B375" s="9"/>
      <c r="C375" s="9"/>
      <c r="D375" s="9"/>
      <c r="E375" s="9"/>
      <c r="F375" s="10"/>
      <c r="G375" s="9"/>
    </row>
    <row r="376" spans="1:7" x14ac:dyDescent="0.45">
      <c r="A376" s="9"/>
      <c r="B376" s="9"/>
      <c r="C376" s="9"/>
      <c r="D376" s="9"/>
      <c r="E376" s="9"/>
      <c r="F376" s="10"/>
      <c r="G376" s="9"/>
    </row>
    <row r="377" spans="1:7" x14ac:dyDescent="0.45">
      <c r="A377" s="9"/>
      <c r="B377" s="9"/>
      <c r="C377" s="9"/>
      <c r="D377" s="9"/>
      <c r="E377" s="9"/>
      <c r="F377" s="10"/>
      <c r="G377" s="9"/>
    </row>
    <row r="378" spans="1:7" x14ac:dyDescent="0.45">
      <c r="A378" s="9"/>
      <c r="B378" s="9"/>
      <c r="C378" s="9"/>
      <c r="D378" s="9"/>
      <c r="E378" s="9"/>
      <c r="F378" s="10"/>
      <c r="G378" s="9"/>
    </row>
    <row r="379" spans="1:7" x14ac:dyDescent="0.45">
      <c r="A379" s="9"/>
      <c r="B379" s="9"/>
      <c r="C379" s="9"/>
      <c r="D379" s="9"/>
      <c r="E379" s="9"/>
      <c r="F379" s="10"/>
      <c r="G379" s="9"/>
    </row>
    <row r="380" spans="1:7" x14ac:dyDescent="0.45">
      <c r="A380" s="9"/>
      <c r="B380" s="9"/>
      <c r="C380" s="9"/>
      <c r="D380" s="9"/>
      <c r="E380" s="9"/>
      <c r="F380" s="10"/>
      <c r="G380" s="9"/>
    </row>
    <row r="381" spans="1:7" x14ac:dyDescent="0.45">
      <c r="A381" s="9"/>
      <c r="B381" s="9"/>
      <c r="C381" s="9"/>
      <c r="D381" s="9"/>
      <c r="E381" s="9"/>
      <c r="F381" s="10"/>
      <c r="G381" s="9"/>
    </row>
    <row r="382" spans="1:7" x14ac:dyDescent="0.45">
      <c r="A382" s="9"/>
      <c r="B382" s="9"/>
      <c r="C382" s="9"/>
      <c r="D382" s="9"/>
      <c r="E382" s="9"/>
      <c r="F382" s="10"/>
      <c r="G382" s="9"/>
    </row>
    <row r="383" spans="1:7" x14ac:dyDescent="0.45">
      <c r="A383" s="9"/>
      <c r="B383" s="9"/>
      <c r="C383" s="9"/>
      <c r="D383" s="9"/>
      <c r="E383" s="9"/>
      <c r="F383" s="10"/>
      <c r="G383" s="9"/>
    </row>
    <row r="384" spans="1:7" x14ac:dyDescent="0.45">
      <c r="A384" s="9"/>
      <c r="B384" s="9"/>
      <c r="C384" s="9"/>
      <c r="D384" s="9"/>
      <c r="E384" s="9"/>
      <c r="F384" s="10"/>
      <c r="G384" s="9"/>
    </row>
    <row r="385" spans="1:7" x14ac:dyDescent="0.45">
      <c r="A385" s="9"/>
      <c r="B385" s="9"/>
      <c r="C385" s="9"/>
      <c r="D385" s="9"/>
      <c r="E385" s="9"/>
      <c r="F385" s="10"/>
      <c r="G385" s="9"/>
    </row>
    <row r="386" spans="1:7" x14ac:dyDescent="0.45">
      <c r="A386" s="9"/>
      <c r="B386" s="9"/>
      <c r="C386" s="9"/>
      <c r="D386" s="9"/>
      <c r="E386" s="9"/>
      <c r="F386" s="10"/>
      <c r="G386" s="9"/>
    </row>
    <row r="387" spans="1:7" x14ac:dyDescent="0.45">
      <c r="A387" s="9"/>
      <c r="B387" s="9"/>
      <c r="C387" s="9"/>
      <c r="D387" s="9"/>
      <c r="E387" s="9"/>
      <c r="F387" s="10"/>
      <c r="G387" s="9"/>
    </row>
    <row r="388" spans="1:7" x14ac:dyDescent="0.45">
      <c r="A388" s="9"/>
      <c r="B388" s="9"/>
      <c r="C388" s="9"/>
      <c r="D388" s="9"/>
      <c r="E388" s="9"/>
      <c r="F388" s="10"/>
      <c r="G388" s="9"/>
    </row>
    <row r="389" spans="1:7" x14ac:dyDescent="0.45">
      <c r="A389" s="9"/>
      <c r="B389" s="9"/>
      <c r="C389" s="9"/>
      <c r="D389" s="9"/>
      <c r="E389" s="9"/>
      <c r="F389" s="10"/>
      <c r="G389" s="9"/>
    </row>
    <row r="390" spans="1:7" x14ac:dyDescent="0.45">
      <c r="A390" s="9"/>
      <c r="B390" s="9"/>
      <c r="C390" s="9"/>
      <c r="D390" s="9"/>
      <c r="E390" s="9"/>
      <c r="F390" s="10"/>
      <c r="G390" s="9"/>
    </row>
    <row r="391" spans="1:7" x14ac:dyDescent="0.45">
      <c r="A391" s="9"/>
      <c r="B391" s="9"/>
      <c r="C391" s="9"/>
      <c r="D391" s="9"/>
      <c r="E391" s="9"/>
      <c r="F391" s="10"/>
      <c r="G391" s="9"/>
    </row>
    <row r="392" spans="1:7" x14ac:dyDescent="0.45">
      <c r="A392" s="9"/>
      <c r="B392" s="9"/>
      <c r="C392" s="9"/>
      <c r="D392" s="9"/>
      <c r="E392" s="9"/>
      <c r="F392" s="10"/>
      <c r="G392" s="9"/>
    </row>
    <row r="393" spans="1:7" x14ac:dyDescent="0.45">
      <c r="A393" s="9"/>
      <c r="B393" s="9"/>
      <c r="C393" s="9"/>
      <c r="D393" s="9"/>
      <c r="E393" s="9"/>
      <c r="F393" s="10"/>
      <c r="G393" s="9"/>
    </row>
    <row r="394" spans="1:7" x14ac:dyDescent="0.45">
      <c r="A394" s="9"/>
      <c r="B394" s="9"/>
      <c r="C394" s="9"/>
      <c r="D394" s="9"/>
      <c r="E394" s="9"/>
      <c r="F394" s="10"/>
      <c r="G394" s="9"/>
    </row>
    <row r="395" spans="1:7" x14ac:dyDescent="0.45">
      <c r="A395" s="9"/>
      <c r="B395" s="9"/>
      <c r="C395" s="9"/>
      <c r="D395" s="9"/>
      <c r="E395" s="9"/>
      <c r="F395" s="10"/>
      <c r="G395" s="9"/>
    </row>
    <row r="396" spans="1:7" x14ac:dyDescent="0.45">
      <c r="A396" s="9"/>
      <c r="B396" s="9"/>
      <c r="C396" s="9"/>
      <c r="D396" s="9"/>
      <c r="E396" s="9"/>
      <c r="F396" s="10"/>
      <c r="G396" s="9"/>
    </row>
    <row r="397" spans="1:7" x14ac:dyDescent="0.45">
      <c r="A397" s="9"/>
      <c r="B397" s="9"/>
      <c r="C397" s="9"/>
      <c r="D397" s="9"/>
      <c r="E397" s="9"/>
      <c r="F397" s="10"/>
      <c r="G397" s="9"/>
    </row>
    <row r="398" spans="1:7" x14ac:dyDescent="0.45">
      <c r="A398" s="9"/>
      <c r="B398" s="9"/>
      <c r="C398" s="9"/>
      <c r="D398" s="9"/>
      <c r="E398" s="9"/>
      <c r="F398" s="10"/>
      <c r="G398" s="9"/>
    </row>
    <row r="399" spans="1:7" x14ac:dyDescent="0.45">
      <c r="A399" s="9"/>
      <c r="B399" s="9"/>
      <c r="C399" s="9"/>
      <c r="D399" s="9"/>
      <c r="E399" s="9"/>
      <c r="F399" s="10"/>
      <c r="G399" s="9"/>
    </row>
    <row r="400" spans="1:7" x14ac:dyDescent="0.45">
      <c r="A400" s="9"/>
      <c r="B400" s="9"/>
      <c r="C400" s="9"/>
      <c r="D400" s="9"/>
      <c r="E400" s="9"/>
      <c r="F400" s="10"/>
      <c r="G400" s="9"/>
    </row>
    <row r="401" spans="1:7" x14ac:dyDescent="0.45">
      <c r="A401" s="9"/>
      <c r="B401" s="9"/>
      <c r="C401" s="9"/>
      <c r="D401" s="9"/>
      <c r="E401" s="9"/>
      <c r="F401" s="10"/>
      <c r="G401" s="9"/>
    </row>
    <row r="402" spans="1:7" x14ac:dyDescent="0.45">
      <c r="A402" s="9"/>
      <c r="B402" s="9"/>
      <c r="C402" s="9"/>
      <c r="D402" s="9"/>
      <c r="E402" s="9"/>
      <c r="F402" s="10"/>
      <c r="G402" s="9"/>
    </row>
    <row r="403" spans="1:7" x14ac:dyDescent="0.45">
      <c r="A403" s="9"/>
      <c r="B403" s="9"/>
      <c r="C403" s="9"/>
      <c r="D403" s="9"/>
      <c r="E403" s="9"/>
      <c r="F403" s="10"/>
      <c r="G403" s="9"/>
    </row>
    <row r="404" spans="1:7" x14ac:dyDescent="0.45">
      <c r="A404" s="9"/>
      <c r="B404" s="9"/>
      <c r="C404" s="9"/>
      <c r="D404" s="9"/>
      <c r="E404" s="9"/>
      <c r="F404" s="10"/>
      <c r="G404" s="9"/>
    </row>
    <row r="405" spans="1:7" x14ac:dyDescent="0.45">
      <c r="A405" s="9"/>
      <c r="B405" s="9"/>
      <c r="C405" s="9"/>
      <c r="D405" s="9"/>
      <c r="E405" s="9"/>
      <c r="F405" s="10"/>
      <c r="G405" s="9"/>
    </row>
    <row r="406" spans="1:7" x14ac:dyDescent="0.45">
      <c r="A406" s="9"/>
      <c r="B406" s="9"/>
      <c r="C406" s="9"/>
      <c r="D406" s="9"/>
      <c r="E406" s="9"/>
      <c r="F406" s="10"/>
      <c r="G406" s="9"/>
    </row>
    <row r="407" spans="1:7" x14ac:dyDescent="0.45">
      <c r="A407" s="9"/>
      <c r="B407" s="9"/>
      <c r="C407" s="9"/>
      <c r="D407" s="9"/>
      <c r="E407" s="9"/>
      <c r="F407" s="10"/>
      <c r="G407" s="9"/>
    </row>
    <row r="408" spans="1:7" x14ac:dyDescent="0.45">
      <c r="A408" s="9"/>
      <c r="B408" s="9"/>
      <c r="C408" s="9"/>
      <c r="D408" s="9"/>
      <c r="E408" s="9"/>
      <c r="F408" s="10"/>
      <c r="G408" s="9"/>
    </row>
    <row r="409" spans="1:7" x14ac:dyDescent="0.45">
      <c r="A409" s="9"/>
      <c r="B409" s="9"/>
      <c r="C409" s="9"/>
      <c r="D409" s="9"/>
      <c r="E409" s="9"/>
      <c r="F409" s="10"/>
      <c r="G409" s="9"/>
    </row>
    <row r="410" spans="1:7" x14ac:dyDescent="0.45">
      <c r="A410" s="9"/>
      <c r="B410" s="9"/>
      <c r="C410" s="9"/>
      <c r="D410" s="9"/>
      <c r="E410" s="9"/>
      <c r="F410" s="10"/>
      <c r="G410" s="9"/>
    </row>
    <row r="411" spans="1:7" x14ac:dyDescent="0.45">
      <c r="A411" s="9"/>
      <c r="B411" s="9"/>
      <c r="C411" s="9"/>
      <c r="D411" s="9"/>
      <c r="E411" s="9"/>
      <c r="F411" s="10"/>
      <c r="G411" s="9"/>
    </row>
    <row r="412" spans="1:7" x14ac:dyDescent="0.45">
      <c r="A412" s="9"/>
      <c r="B412" s="9"/>
      <c r="C412" s="9"/>
      <c r="D412" s="9"/>
      <c r="E412" s="9"/>
      <c r="F412" s="10"/>
      <c r="G412" s="9"/>
    </row>
    <row r="413" spans="1:7" x14ac:dyDescent="0.45">
      <c r="A413" s="9"/>
      <c r="B413" s="9"/>
      <c r="C413" s="9"/>
      <c r="D413" s="9"/>
      <c r="E413" s="9"/>
      <c r="F413" s="10"/>
      <c r="G413" s="9"/>
    </row>
    <row r="414" spans="1:7" x14ac:dyDescent="0.45">
      <c r="A414" s="9"/>
      <c r="B414" s="9"/>
      <c r="C414" s="9"/>
      <c r="D414" s="9"/>
      <c r="E414" s="9"/>
      <c r="F414" s="10"/>
      <c r="G414" s="9"/>
    </row>
    <row r="415" spans="1:7" x14ac:dyDescent="0.45">
      <c r="A415" s="9"/>
      <c r="B415" s="9"/>
      <c r="C415" s="9"/>
      <c r="D415" s="9"/>
      <c r="E415" s="9"/>
      <c r="F415" s="10"/>
      <c r="G415" s="9"/>
    </row>
    <row r="416" spans="1:7" x14ac:dyDescent="0.45">
      <c r="A416" s="9"/>
      <c r="B416" s="9"/>
      <c r="C416" s="9"/>
      <c r="D416" s="9"/>
      <c r="E416" s="9"/>
      <c r="F416" s="10"/>
      <c r="G416" s="9"/>
    </row>
    <row r="417" spans="1:7" x14ac:dyDescent="0.45">
      <c r="A417" s="9"/>
      <c r="B417" s="9"/>
      <c r="C417" s="9"/>
      <c r="D417" s="9"/>
      <c r="E417" s="9"/>
      <c r="F417" s="10"/>
      <c r="G417" s="9"/>
    </row>
    <row r="418" spans="1:7" x14ac:dyDescent="0.45">
      <c r="A418" s="9"/>
      <c r="B418" s="9"/>
      <c r="C418" s="9"/>
      <c r="D418" s="9"/>
      <c r="E418" s="9"/>
      <c r="F418" s="10"/>
      <c r="G418" s="9"/>
    </row>
    <row r="419" spans="1:7" x14ac:dyDescent="0.45">
      <c r="A419" s="9"/>
      <c r="B419" s="9"/>
      <c r="C419" s="9"/>
      <c r="D419" s="9"/>
      <c r="E419" s="9"/>
      <c r="F419" s="10"/>
      <c r="G419" s="9"/>
    </row>
    <row r="420" spans="1:7" x14ac:dyDescent="0.45">
      <c r="A420" s="9"/>
      <c r="B420" s="9"/>
      <c r="C420" s="9"/>
      <c r="D420" s="9"/>
      <c r="E420" s="9"/>
      <c r="F420" s="10"/>
      <c r="G420" s="9"/>
    </row>
    <row r="421" spans="1:7" x14ac:dyDescent="0.45">
      <c r="A421" s="9"/>
      <c r="B421" s="9"/>
      <c r="C421" s="9"/>
      <c r="D421" s="9"/>
      <c r="E421" s="9"/>
      <c r="F421" s="10"/>
      <c r="G421" s="9"/>
    </row>
    <row r="422" spans="1:7" x14ac:dyDescent="0.45">
      <c r="A422" s="9"/>
      <c r="B422" s="9"/>
      <c r="C422" s="9"/>
      <c r="D422" s="9"/>
      <c r="E422" s="9"/>
      <c r="F422" s="10"/>
      <c r="G422" s="9"/>
    </row>
    <row r="423" spans="1:7" x14ac:dyDescent="0.45">
      <c r="A423" s="9"/>
      <c r="B423" s="9"/>
      <c r="C423" s="9"/>
      <c r="D423" s="9"/>
      <c r="E423" s="9"/>
      <c r="F423" s="10"/>
      <c r="G423" s="9"/>
    </row>
    <row r="424" spans="1:7" x14ac:dyDescent="0.45">
      <c r="A424" s="9"/>
      <c r="B424" s="9"/>
      <c r="C424" s="9"/>
      <c r="D424" s="9"/>
      <c r="E424" s="9"/>
      <c r="F424" s="10"/>
      <c r="G424" s="9"/>
    </row>
    <row r="425" spans="1:7" x14ac:dyDescent="0.45">
      <c r="A425" s="9"/>
      <c r="B425" s="9"/>
      <c r="C425" s="9"/>
      <c r="D425" s="9"/>
      <c r="E425" s="9"/>
      <c r="F425" s="10"/>
      <c r="G425" s="9"/>
    </row>
    <row r="426" spans="1:7" x14ac:dyDescent="0.45">
      <c r="A426" s="9"/>
      <c r="B426" s="9"/>
      <c r="C426" s="9"/>
      <c r="D426" s="9"/>
      <c r="E426" s="9"/>
      <c r="F426" s="10"/>
      <c r="G426" s="9"/>
    </row>
    <row r="427" spans="1:7" x14ac:dyDescent="0.45">
      <c r="A427" s="9"/>
      <c r="B427" s="9"/>
      <c r="C427" s="9"/>
      <c r="D427" s="9"/>
      <c r="E427" s="9"/>
      <c r="F427" s="10"/>
      <c r="G427" s="9"/>
    </row>
    <row r="428" spans="1:7" x14ac:dyDescent="0.45">
      <c r="A428" s="9"/>
      <c r="B428" s="9"/>
      <c r="C428" s="9"/>
      <c r="D428" s="9"/>
      <c r="E428" s="9"/>
      <c r="F428" s="10"/>
      <c r="G428" s="9"/>
    </row>
    <row r="429" spans="1:7" x14ac:dyDescent="0.45">
      <c r="A429" s="9"/>
      <c r="B429" s="9"/>
      <c r="C429" s="9"/>
      <c r="D429" s="9"/>
      <c r="E429" s="9"/>
      <c r="F429" s="10"/>
      <c r="G429" s="9"/>
    </row>
    <row r="430" spans="1:7" x14ac:dyDescent="0.45">
      <c r="A430" s="9"/>
      <c r="B430" s="9"/>
      <c r="C430" s="9"/>
      <c r="D430" s="9"/>
      <c r="E430" s="9"/>
      <c r="F430" s="10"/>
      <c r="G430" s="9"/>
    </row>
    <row r="431" spans="1:7" x14ac:dyDescent="0.45">
      <c r="A431" s="9"/>
      <c r="B431" s="9"/>
      <c r="C431" s="9"/>
      <c r="D431" s="9"/>
      <c r="E431" s="9"/>
      <c r="F431" s="10"/>
      <c r="G431" s="9"/>
    </row>
    <row r="432" spans="1:7" x14ac:dyDescent="0.45">
      <c r="A432" s="9"/>
      <c r="B432" s="9"/>
      <c r="C432" s="9"/>
      <c r="D432" s="9"/>
      <c r="E432" s="9"/>
      <c r="F432" s="10"/>
      <c r="G432" s="9"/>
    </row>
    <row r="433" spans="1:7" x14ac:dyDescent="0.45">
      <c r="A433" s="9"/>
      <c r="B433" s="9"/>
      <c r="C433" s="9"/>
      <c r="D433" s="9"/>
      <c r="E433" s="9"/>
      <c r="F433" s="10"/>
      <c r="G433" s="9"/>
    </row>
    <row r="434" spans="1:7" x14ac:dyDescent="0.45">
      <c r="A434" s="9"/>
      <c r="B434" s="9"/>
      <c r="C434" s="9"/>
      <c r="D434" s="9"/>
      <c r="E434" s="9"/>
      <c r="F434" s="10"/>
      <c r="G434" s="9"/>
    </row>
    <row r="435" spans="1:7" x14ac:dyDescent="0.45">
      <c r="A435" s="9"/>
      <c r="B435" s="9"/>
      <c r="C435" s="9"/>
      <c r="D435" s="9"/>
      <c r="E435" s="9"/>
      <c r="F435" s="10"/>
      <c r="G435" s="9"/>
    </row>
    <row r="436" spans="1:7" x14ac:dyDescent="0.45">
      <c r="A436" s="9"/>
      <c r="B436" s="9"/>
      <c r="C436" s="9"/>
      <c r="D436" s="9"/>
      <c r="E436" s="9"/>
      <c r="F436" s="10"/>
      <c r="G436" s="9"/>
    </row>
    <row r="437" spans="1:7" x14ac:dyDescent="0.45">
      <c r="A437" s="9"/>
      <c r="B437" s="9"/>
      <c r="C437" s="9"/>
      <c r="D437" s="9"/>
      <c r="E437" s="9"/>
      <c r="F437" s="10"/>
      <c r="G437" s="9"/>
    </row>
    <row r="438" spans="1:7" x14ac:dyDescent="0.45">
      <c r="A438" s="9"/>
      <c r="B438" s="9"/>
      <c r="C438" s="9"/>
      <c r="D438" s="9"/>
      <c r="E438" s="9"/>
      <c r="F438" s="10"/>
      <c r="G438" s="9"/>
    </row>
    <row r="439" spans="1:7" x14ac:dyDescent="0.45">
      <c r="A439" s="9"/>
      <c r="B439" s="9"/>
      <c r="C439" s="9"/>
      <c r="D439" s="9"/>
      <c r="E439" s="9"/>
      <c r="F439" s="10"/>
      <c r="G439" s="9"/>
    </row>
    <row r="440" spans="1:7" x14ac:dyDescent="0.45">
      <c r="A440" s="9"/>
      <c r="B440" s="9"/>
      <c r="C440" s="9"/>
      <c r="D440" s="9"/>
      <c r="E440" s="9"/>
      <c r="F440" s="10"/>
      <c r="G440" s="9"/>
    </row>
    <row r="441" spans="1:7" x14ac:dyDescent="0.45">
      <c r="A441" s="9"/>
      <c r="B441" s="9"/>
      <c r="C441" s="9"/>
      <c r="D441" s="9"/>
      <c r="E441" s="9"/>
      <c r="F441" s="10"/>
      <c r="G441" s="9"/>
    </row>
    <row r="442" spans="1:7" x14ac:dyDescent="0.45">
      <c r="A442" s="9"/>
      <c r="B442" s="9"/>
      <c r="C442" s="9"/>
      <c r="D442" s="9"/>
      <c r="E442" s="9"/>
      <c r="F442" s="10"/>
      <c r="G442" s="9"/>
    </row>
    <row r="443" spans="1:7" x14ac:dyDescent="0.45">
      <c r="A443" s="9"/>
      <c r="B443" s="9"/>
      <c r="C443" s="9"/>
      <c r="D443" s="9"/>
      <c r="E443" s="9"/>
      <c r="F443" s="10"/>
      <c r="G443" s="9"/>
    </row>
    <row r="444" spans="1:7" x14ac:dyDescent="0.45">
      <c r="A444" s="9"/>
      <c r="B444" s="9"/>
      <c r="C444" s="9"/>
      <c r="D444" s="9"/>
      <c r="E444" s="9"/>
      <c r="F444" s="10"/>
      <c r="G444" s="9"/>
    </row>
    <row r="445" spans="1:7" x14ac:dyDescent="0.45">
      <c r="A445" s="9"/>
      <c r="B445" s="9"/>
      <c r="C445" s="9"/>
      <c r="D445" s="9"/>
      <c r="E445" s="9"/>
      <c r="F445" s="10"/>
      <c r="G445" s="9"/>
    </row>
    <row r="446" spans="1:7" x14ac:dyDescent="0.45">
      <c r="A446" s="9"/>
      <c r="B446" s="9"/>
      <c r="C446" s="9"/>
      <c r="D446" s="9"/>
      <c r="E446" s="9"/>
      <c r="F446" s="10"/>
      <c r="G446" s="9"/>
    </row>
    <row r="447" spans="1:7" x14ac:dyDescent="0.45">
      <c r="A447" s="9"/>
      <c r="B447" s="9"/>
      <c r="C447" s="9"/>
      <c r="D447" s="9"/>
      <c r="E447" s="9"/>
      <c r="F447" s="10"/>
      <c r="G447" s="9"/>
    </row>
    <row r="448" spans="1:7" x14ac:dyDescent="0.45">
      <c r="A448" s="9"/>
      <c r="B448" s="9"/>
      <c r="C448" s="9"/>
      <c r="D448" s="9"/>
      <c r="E448" s="9"/>
      <c r="F448" s="10"/>
      <c r="G448" s="9"/>
    </row>
    <row r="449" spans="1:7" x14ac:dyDescent="0.45">
      <c r="A449" s="9"/>
      <c r="B449" s="9"/>
      <c r="C449" s="9"/>
      <c r="D449" s="9"/>
      <c r="E449" s="9"/>
      <c r="F449" s="10"/>
      <c r="G449" s="9"/>
    </row>
    <row r="450" spans="1:7" x14ac:dyDescent="0.45">
      <c r="A450" s="9"/>
      <c r="B450" s="9"/>
      <c r="C450" s="9"/>
      <c r="D450" s="9"/>
      <c r="E450" s="9"/>
      <c r="F450" s="10"/>
      <c r="G450" s="9"/>
    </row>
    <row r="451" spans="1:7" x14ac:dyDescent="0.45">
      <c r="A451" s="9"/>
      <c r="B451" s="9"/>
      <c r="C451" s="9"/>
      <c r="D451" s="9"/>
      <c r="E451" s="9"/>
      <c r="F451" s="10"/>
      <c r="G451" s="9"/>
    </row>
    <row r="452" spans="1:7" x14ac:dyDescent="0.45">
      <c r="A452" s="9"/>
      <c r="B452" s="9"/>
      <c r="C452" s="9"/>
      <c r="D452" s="9"/>
      <c r="E452" s="9"/>
      <c r="F452" s="10"/>
      <c r="G452" s="9"/>
    </row>
    <row r="453" spans="1:7" x14ac:dyDescent="0.45">
      <c r="A453" s="9"/>
      <c r="B453" s="9"/>
      <c r="C453" s="9"/>
      <c r="D453" s="9"/>
      <c r="E453" s="9"/>
      <c r="F453" s="10"/>
      <c r="G453" s="9"/>
    </row>
    <row r="454" spans="1:7" x14ac:dyDescent="0.45">
      <c r="A454" s="9"/>
      <c r="B454" s="9"/>
      <c r="C454" s="9"/>
      <c r="D454" s="9"/>
      <c r="E454" s="9"/>
      <c r="F454" s="10"/>
      <c r="G454" s="9"/>
    </row>
    <row r="455" spans="1:7" x14ac:dyDescent="0.45">
      <c r="A455" s="9"/>
      <c r="B455" s="9"/>
      <c r="C455" s="9"/>
      <c r="D455" s="9"/>
      <c r="E455" s="9"/>
      <c r="F455" s="10"/>
      <c r="G455" s="9"/>
    </row>
    <row r="456" spans="1:7" x14ac:dyDescent="0.45">
      <c r="A456" s="9"/>
      <c r="B456" s="9"/>
      <c r="C456" s="9"/>
      <c r="D456" s="9"/>
      <c r="E456" s="9"/>
      <c r="F456" s="10"/>
      <c r="G456" s="9"/>
    </row>
    <row r="457" spans="1:7" x14ac:dyDescent="0.45">
      <c r="A457" s="9"/>
      <c r="B457" s="9"/>
      <c r="C457" s="9"/>
      <c r="D457" s="9"/>
      <c r="E457" s="9"/>
      <c r="F457" s="10"/>
      <c r="G457" s="9"/>
    </row>
    <row r="458" spans="1:7" x14ac:dyDescent="0.45">
      <c r="A458" s="9"/>
      <c r="B458" s="9"/>
      <c r="C458" s="9"/>
      <c r="D458" s="9"/>
      <c r="E458" s="9"/>
      <c r="F458" s="10"/>
      <c r="G458" s="9"/>
    </row>
    <row r="459" spans="1:7" x14ac:dyDescent="0.45">
      <c r="A459" s="9"/>
      <c r="B459" s="9"/>
      <c r="C459" s="9"/>
      <c r="D459" s="9"/>
      <c r="E459" s="9"/>
      <c r="F459" s="10"/>
      <c r="G459" s="9"/>
    </row>
    <row r="460" spans="1:7" x14ac:dyDescent="0.45">
      <c r="A460" s="9"/>
      <c r="B460" s="9"/>
      <c r="C460" s="9"/>
      <c r="D460" s="9"/>
      <c r="E460" s="9"/>
      <c r="F460" s="10"/>
      <c r="G460" s="9"/>
    </row>
    <row r="461" spans="1:7" x14ac:dyDescent="0.45">
      <c r="A461" s="9"/>
      <c r="B461" s="9"/>
      <c r="C461" s="9"/>
      <c r="D461" s="9"/>
      <c r="E461" s="9"/>
      <c r="F461" s="10"/>
      <c r="G461" s="9"/>
    </row>
    <row r="462" spans="1:7" x14ac:dyDescent="0.45">
      <c r="A462" s="9"/>
      <c r="B462" s="9"/>
      <c r="C462" s="9"/>
      <c r="D462" s="9"/>
      <c r="E462" s="9"/>
      <c r="F462" s="10"/>
      <c r="G462" s="9"/>
    </row>
    <row r="463" spans="1:7" x14ac:dyDescent="0.45">
      <c r="A463" s="9"/>
      <c r="B463" s="9"/>
      <c r="C463" s="9"/>
      <c r="D463" s="9"/>
      <c r="E463" s="9"/>
      <c r="F463" s="10"/>
      <c r="G463" s="9"/>
    </row>
    <row r="464" spans="1:7" x14ac:dyDescent="0.45">
      <c r="A464" s="9"/>
      <c r="B464" s="9"/>
      <c r="C464" s="9"/>
      <c r="D464" s="9"/>
      <c r="E464" s="9"/>
      <c r="F464" s="10"/>
      <c r="G464" s="9"/>
    </row>
    <row r="465" spans="1:7" x14ac:dyDescent="0.45">
      <c r="A465" s="9"/>
      <c r="B465" s="9"/>
      <c r="C465" s="9"/>
      <c r="D465" s="9"/>
      <c r="E465" s="9"/>
      <c r="F465" s="10"/>
      <c r="G465" s="9"/>
    </row>
    <row r="466" spans="1:7" x14ac:dyDescent="0.45">
      <c r="A466" s="9"/>
      <c r="B466" s="9"/>
      <c r="C466" s="9"/>
      <c r="D466" s="9"/>
      <c r="E466" s="9"/>
      <c r="F466" s="10"/>
      <c r="G466" s="9"/>
    </row>
    <row r="467" spans="1:7" x14ac:dyDescent="0.45">
      <c r="A467" s="9"/>
      <c r="B467" s="9"/>
      <c r="C467" s="9"/>
      <c r="D467" s="9"/>
      <c r="E467" s="9"/>
      <c r="F467" s="10"/>
      <c r="G467" s="9"/>
    </row>
    <row r="468" spans="1:7" x14ac:dyDescent="0.45">
      <c r="A468" s="9"/>
      <c r="B468" s="9"/>
      <c r="C468" s="9"/>
      <c r="D468" s="9"/>
      <c r="E468" s="9"/>
      <c r="F468" s="10"/>
      <c r="G468" s="9"/>
    </row>
    <row r="469" spans="1:7" x14ac:dyDescent="0.45">
      <c r="A469" s="9"/>
      <c r="B469" s="9"/>
      <c r="C469" s="9"/>
      <c r="D469" s="9"/>
      <c r="E469" s="9"/>
      <c r="F469" s="10"/>
      <c r="G469" s="9"/>
    </row>
    <row r="470" spans="1:7" x14ac:dyDescent="0.45">
      <c r="A470" s="9"/>
      <c r="B470" s="9"/>
      <c r="C470" s="9"/>
      <c r="D470" s="9"/>
      <c r="E470" s="9"/>
      <c r="F470" s="10"/>
      <c r="G470" s="9"/>
    </row>
    <row r="471" spans="1:7" x14ac:dyDescent="0.45">
      <c r="A471" s="9"/>
      <c r="B471" s="9"/>
      <c r="C471" s="9"/>
      <c r="D471" s="9"/>
      <c r="E471" s="9"/>
      <c r="F471" s="10"/>
      <c r="G471" s="9"/>
    </row>
    <row r="472" spans="1:7" x14ac:dyDescent="0.45">
      <c r="A472" s="9"/>
      <c r="B472" s="9"/>
      <c r="C472" s="9"/>
      <c r="D472" s="9"/>
      <c r="E472" s="9"/>
      <c r="F472" s="10"/>
      <c r="G472" s="9"/>
    </row>
    <row r="473" spans="1:7" x14ac:dyDescent="0.45">
      <c r="A473" s="9"/>
      <c r="B473" s="9"/>
      <c r="C473" s="9"/>
      <c r="D473" s="9"/>
      <c r="E473" s="9"/>
      <c r="F473" s="10"/>
      <c r="G473" s="9"/>
    </row>
    <row r="474" spans="1:7" x14ac:dyDescent="0.45">
      <c r="A474" s="9"/>
      <c r="B474" s="9"/>
      <c r="C474" s="9"/>
      <c r="D474" s="9"/>
      <c r="E474" s="9"/>
      <c r="F474" s="10"/>
      <c r="G474" s="9"/>
    </row>
    <row r="475" spans="1:7" x14ac:dyDescent="0.45">
      <c r="A475" s="9"/>
      <c r="B475" s="9"/>
      <c r="C475" s="9"/>
      <c r="D475" s="9"/>
      <c r="E475" s="9"/>
      <c r="F475" s="10"/>
      <c r="G475" s="9"/>
    </row>
    <row r="476" spans="1:7" x14ac:dyDescent="0.45">
      <c r="A476" s="9"/>
      <c r="B476" s="9"/>
      <c r="C476" s="9"/>
      <c r="D476" s="9"/>
      <c r="E476" s="9"/>
      <c r="F476" s="10"/>
      <c r="G476" s="9"/>
    </row>
    <row r="477" spans="1:7" x14ac:dyDescent="0.45">
      <c r="A477" s="9"/>
      <c r="B477" s="9"/>
      <c r="C477" s="9"/>
      <c r="D477" s="9"/>
      <c r="E477" s="9"/>
      <c r="F477" s="10"/>
      <c r="G477" s="9"/>
    </row>
    <row r="478" spans="1:7" x14ac:dyDescent="0.45">
      <c r="A478" s="9"/>
      <c r="B478" s="9"/>
      <c r="C478" s="9"/>
      <c r="D478" s="9"/>
      <c r="E478" s="9"/>
      <c r="F478" s="10"/>
      <c r="G478" s="9"/>
    </row>
    <row r="479" spans="1:7" x14ac:dyDescent="0.45">
      <c r="A479" s="9"/>
      <c r="B479" s="9"/>
      <c r="C479" s="9"/>
      <c r="D479" s="9"/>
      <c r="E479" s="9"/>
      <c r="F479" s="10"/>
      <c r="G479" s="9"/>
    </row>
    <row r="480" spans="1:7" x14ac:dyDescent="0.45">
      <c r="A480" s="9"/>
      <c r="B480" s="9"/>
      <c r="C480" s="9"/>
      <c r="D480" s="9"/>
      <c r="E480" s="9"/>
      <c r="F480" s="10"/>
      <c r="G480" s="9"/>
    </row>
    <row r="481" spans="1:7" x14ac:dyDescent="0.45">
      <c r="A481" s="9"/>
      <c r="B481" s="9"/>
      <c r="C481" s="9"/>
      <c r="D481" s="9"/>
      <c r="E481" s="9"/>
      <c r="F481" s="10"/>
      <c r="G481" s="9"/>
    </row>
    <row r="482" spans="1:7" x14ac:dyDescent="0.45">
      <c r="A482" s="9"/>
      <c r="B482" s="9"/>
      <c r="C482" s="9"/>
      <c r="D482" s="9"/>
      <c r="E482" s="9"/>
      <c r="F482" s="10"/>
      <c r="G482" s="9"/>
    </row>
    <row r="483" spans="1:7" x14ac:dyDescent="0.45">
      <c r="A483" s="9"/>
      <c r="B483" s="9"/>
      <c r="C483" s="9"/>
      <c r="D483" s="9"/>
      <c r="E483" s="9"/>
      <c r="F483" s="10"/>
      <c r="G483" s="9"/>
    </row>
    <row r="484" spans="1:7" x14ac:dyDescent="0.45">
      <c r="A484" s="9"/>
      <c r="B484" s="9"/>
      <c r="C484" s="9"/>
      <c r="D484" s="9"/>
      <c r="E484" s="9"/>
      <c r="F484" s="10"/>
      <c r="G484" s="9"/>
    </row>
    <row r="485" spans="1:7" x14ac:dyDescent="0.45">
      <c r="A485" s="9"/>
      <c r="B485" s="9"/>
      <c r="C485" s="9"/>
      <c r="D485" s="9"/>
      <c r="E485" s="9"/>
      <c r="F485" s="10"/>
      <c r="G485" s="9"/>
    </row>
    <row r="486" spans="1:7" x14ac:dyDescent="0.45">
      <c r="A486" s="9"/>
      <c r="B486" s="9"/>
      <c r="C486" s="9"/>
      <c r="D486" s="9"/>
      <c r="E486" s="9"/>
      <c r="F486" s="10"/>
      <c r="G486" s="9"/>
    </row>
    <row r="487" spans="1:7" x14ac:dyDescent="0.45">
      <c r="A487" s="9"/>
      <c r="B487" s="9"/>
      <c r="C487" s="9"/>
      <c r="D487" s="9"/>
      <c r="E487" s="9"/>
      <c r="F487" s="10"/>
      <c r="G487" s="9"/>
    </row>
    <row r="488" spans="1:7" x14ac:dyDescent="0.45">
      <c r="A488" s="9"/>
      <c r="B488" s="9"/>
      <c r="C488" s="9"/>
      <c r="D488" s="9"/>
      <c r="E488" s="9"/>
      <c r="F488" s="10"/>
      <c r="G488" s="9"/>
    </row>
    <row r="489" spans="1:7" x14ac:dyDescent="0.45">
      <c r="A489" s="9"/>
      <c r="B489" s="9"/>
      <c r="C489" s="9"/>
      <c r="D489" s="9"/>
      <c r="E489" s="9"/>
      <c r="F489" s="10"/>
      <c r="G489" s="9"/>
    </row>
    <row r="490" spans="1:7" x14ac:dyDescent="0.45">
      <c r="A490" s="9"/>
      <c r="B490" s="9"/>
      <c r="C490" s="9"/>
      <c r="D490" s="9"/>
      <c r="E490" s="9"/>
      <c r="F490" s="10"/>
      <c r="G490" s="9"/>
    </row>
    <row r="491" spans="1:7" x14ac:dyDescent="0.45">
      <c r="A491" s="9"/>
      <c r="B491" s="9"/>
      <c r="C491" s="9"/>
      <c r="D491" s="9"/>
      <c r="E491" s="9"/>
      <c r="F491" s="10"/>
      <c r="G491" s="9"/>
    </row>
    <row r="492" spans="1:7" x14ac:dyDescent="0.45">
      <c r="A492" s="9"/>
      <c r="B492" s="9"/>
      <c r="C492" s="9"/>
      <c r="D492" s="9"/>
      <c r="E492" s="9"/>
      <c r="F492" s="10"/>
      <c r="G492" s="9"/>
    </row>
    <row r="493" spans="1:7" x14ac:dyDescent="0.45">
      <c r="A493" s="9"/>
      <c r="B493" s="9"/>
      <c r="C493" s="9"/>
      <c r="D493" s="9"/>
      <c r="E493" s="9"/>
      <c r="F493" s="10"/>
      <c r="G493" s="9"/>
    </row>
    <row r="494" spans="1:7" x14ac:dyDescent="0.45">
      <c r="A494" s="9"/>
      <c r="B494" s="9"/>
      <c r="C494" s="9"/>
      <c r="D494" s="9"/>
      <c r="E494" s="9"/>
      <c r="F494" s="10"/>
      <c r="G494" s="9"/>
    </row>
    <row r="495" spans="1:7" x14ac:dyDescent="0.45">
      <c r="A495" s="9"/>
      <c r="B495" s="9"/>
      <c r="C495" s="9"/>
      <c r="D495" s="9"/>
      <c r="E495" s="9"/>
      <c r="F495" s="10"/>
      <c r="G495" s="9"/>
    </row>
    <row r="496" spans="1:7" x14ac:dyDescent="0.45">
      <c r="A496" s="9"/>
      <c r="B496" s="9"/>
      <c r="C496" s="9"/>
      <c r="D496" s="9"/>
      <c r="E496" s="9"/>
      <c r="F496" s="10"/>
      <c r="G496" s="9"/>
    </row>
    <row r="497" spans="1:7" x14ac:dyDescent="0.45">
      <c r="A497" s="9"/>
      <c r="B497" s="9"/>
      <c r="C497" s="9"/>
      <c r="D497" s="9"/>
      <c r="E497" s="9"/>
      <c r="F497" s="10"/>
      <c r="G497" s="9"/>
    </row>
    <row r="498" spans="1:7" x14ac:dyDescent="0.45">
      <c r="A498" s="9"/>
      <c r="B498" s="9"/>
      <c r="C498" s="9"/>
      <c r="D498" s="9"/>
      <c r="E498" s="9"/>
      <c r="F498" s="10"/>
      <c r="G498" s="9"/>
    </row>
    <row r="499" spans="1:7" x14ac:dyDescent="0.45">
      <c r="A499" s="9"/>
      <c r="B499" s="9"/>
      <c r="C499" s="9"/>
      <c r="D499" s="9"/>
      <c r="E499" s="9"/>
      <c r="F499" s="10"/>
      <c r="G499" s="9"/>
    </row>
    <row r="500" spans="1:7" x14ac:dyDescent="0.45">
      <c r="A500" s="9"/>
      <c r="B500" s="9"/>
      <c r="C500" s="9"/>
      <c r="D500" s="9"/>
      <c r="E500" s="9"/>
      <c r="F500" s="10"/>
      <c r="G500" s="9"/>
    </row>
    <row r="501" spans="1:7" x14ac:dyDescent="0.45">
      <c r="A501" s="9"/>
      <c r="B501" s="9"/>
      <c r="C501" s="9"/>
      <c r="D501" s="9"/>
      <c r="E501" s="9"/>
      <c r="F501" s="10"/>
      <c r="G501" s="9"/>
    </row>
  </sheetData>
  <dataValidations count="1">
    <dataValidation type="list" allowBlank="1" sqref="C2:C500" xr:uid="{00000000-0002-0000-0700-000000000000}">
      <formula1>"PAGO,DEDUCCION"</formula1>
    </dataValidation>
  </dataValidations>
  <pageMargins left="0.7" right="0.7" top="0.75" bottom="0.75" header="0.3" footer="0.3"/>
  <drawing r:id="rId1"/>
  <legacyDrawing r:id="rId2"/>
  <extLst>
    <ext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Empleados!$A$2:$A$201</xm:f>
          </x14:formula1>
          <xm:sqref>B2:B500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showGridLines="0" workbookViewId="0"/>
  </sheetViews>
  <sheetFormatPr baseColWidth="10" defaultColWidth="9.06640625" defaultRowHeight="14.25" x14ac:dyDescent="0.45"/>
  <cols>
    <col min="1" max="1" customWidth="true" width="32.0"/>
    <col min="2" max="2" customWidth="true" width="18.0"/>
    <col min="3" max="3" customWidth="true" width="4.0"/>
    <col min="4" max="5" customWidth="true" width="16.0"/>
  </cols>
  <sheetData>
    <row r="1" spans="1:5" ht="19.5" x14ac:dyDescent="0.45">
      <c r="A1" s="30" t="s">
        <v>210</v>
      </c>
      <c r="B1" s="29"/>
      <c r="C1" s="29"/>
      <c r="D1" s="29"/>
      <c r="E1" s="29"/>
    </row>
    <row r="2" spans="1:5" x14ac:dyDescent="0.45">
      <c r="A2" s="16" t="s">
        <v>163</v>
      </c>
      <c r="B2" s="17" t="s">
        <v>176</v>
      </c>
    </row>
    <row r="3" spans="1:5" x14ac:dyDescent="0.45">
      <c r="A3" s="16" t="s">
        <v>198</v>
      </c>
      <c r="B3" s="17" t="str">
        <f>Configuracion!B2</f>
        <v>2026-03</v>
      </c>
    </row>
    <row r="5" spans="1:5" x14ac:dyDescent="0.45">
      <c r="A5" s="16" t="s">
        <v>167</v>
      </c>
      <c r="B5" s="18" t="str">
        <f>IFERROR(INDEX(Empleados!$E$2:$E$201,MATCH($B$2,Empleados!$A$2:$A$201,0)),"")</f>
        <v>Ana Lopez Ramirez</v>
      </c>
    </row>
    <row r="6" spans="1:5" x14ac:dyDescent="0.45">
      <c r="A6" s="16" t="s">
        <v>99</v>
      </c>
      <c r="B6" s="18" t="str">
        <f>IFERROR(INDEX(Empleados!$O$2:$O$201,MATCH($B$2,Empleados!$A$2:$A$201,0)),"")</f>
        <v>Auxiliar Administrativo</v>
      </c>
    </row>
    <row r="7" spans="1:5" x14ac:dyDescent="0.45">
      <c r="A7" s="16" t="s">
        <v>112</v>
      </c>
      <c r="B7" s="18" t="str">
        <f>IFERROR(INDEX(Empleados!$P$2:$P$201,MATCH($B$2,Empleados!$A$2:$A$201,0)),"")</f>
        <v>Administracion General</v>
      </c>
    </row>
    <row r="8" spans="1:5" x14ac:dyDescent="0.45">
      <c r="A8" s="16" t="s">
        <v>170</v>
      </c>
      <c r="B8" s="18" t="str">
        <f>IFERROR(INDEX(Empleados!$J$2:$J$201,MATCH($B$2,Empleados!$A$2:$A$201,0)),"")</f>
        <v>ACTIVO</v>
      </c>
    </row>
    <row r="10" spans="1:5" x14ac:dyDescent="0.45">
      <c r="A10" s="2" t="s">
        <v>211</v>
      </c>
    </row>
    <row r="11" spans="1:5" x14ac:dyDescent="0.45">
      <c r="A11" s="19" t="s">
        <v>212</v>
      </c>
      <c r="B11" s="20">
        <f>IF($B$8&lt;&gt;"ACTIVO",0,IFERROR(INDEX(Empleados!$M$2:$M$201,MATCH($B$2,Empleados!$A$2:$A$201,0)),0))</f>
        <v>12000</v>
      </c>
    </row>
    <row r="12" spans="1:5" x14ac:dyDescent="0.45">
      <c r="A12" s="19" t="s">
        <v>213</v>
      </c>
      <c r="B12" s="20">
        <f>IF($B$8&lt;&gt;"ACTIVO",0,IFERROR(INDEX(Empleados!$N$2:$N$201,MATCH($B$2,Empleados!$A$2:$A$201,0)),0))</f>
        <v>1000</v>
      </c>
    </row>
    <row r="13" spans="1:5" x14ac:dyDescent="0.45">
      <c r="A13" s="19" t="s">
        <v>214</v>
      </c>
      <c r="B13" s="20">
        <f>IF($B$8&lt;&gt;"ACTIVO",0,SUMIFS(Conceptos_Pago!$E$2:$E$100,Conceptos_Pago!$C$2:$C$100,"FIJO",Conceptos_Pago!$D$2:$D$100,"SI"))</f>
        <v>1500</v>
      </c>
    </row>
    <row r="14" spans="1:5" x14ac:dyDescent="0.45">
      <c r="A14" s="19" t="s">
        <v>215</v>
      </c>
      <c r="B14" s="20">
        <f>IF($B$8&lt;&gt;"ACTIVO",0,SUMIFS(Movimientos!$F$2:$F$500,Movimientos!$A$2:$A$500,$B$3,Movimientos!$B$2:$B$500,$B$2,Movimientos!$C$2:$C$500,"PAGO"))</f>
        <v>720</v>
      </c>
    </row>
    <row r="15" spans="1:5" x14ac:dyDescent="0.45">
      <c r="A15" s="16" t="s">
        <v>216</v>
      </c>
      <c r="B15" s="21">
        <f>SUM(B11:B14)</f>
        <v>15220</v>
      </c>
    </row>
    <row r="17" spans="1:2" x14ac:dyDescent="0.45">
      <c r="A17" s="19" t="s">
        <v>217</v>
      </c>
      <c r="B17" s="20">
        <f>IF($B$8&lt;&gt;"ACTIVO",0,SUMIFS(Deducciones!$E$2:$E$100,Deducciones!$F$2:$F$100,"SI",Deducciones!$G$2:$G$100,"SI",Deducciones!$C$2:$C$100,"FIJO")+B11*SUMIFS(Deducciones!$E$2:$E$100,Deducciones!$F$2:$F$100,"SI",Deducciones!$G$2:$G$100,"SI",Deducciones!$C$2:$C$100,"PORCENTAJE",Deducciones!$D$2:$D$100,"SUELDO_BASE")+B15*SUMIFS(Deducciones!$E$2:$E$100,Deducciones!$F$2:$F$100,"SI",Deducciones!$G$2:$G$100,"SI",Deducciones!$C$2:$C$100,"PORCENTAJE",Deducciones!$D$2:$D$100,"TOTAL_PERCEPCIONES"))</f>
        <v>1822</v>
      </c>
    </row>
    <row r="18" spans="1:2" x14ac:dyDescent="0.45">
      <c r="A18" s="19" t="s">
        <v>218</v>
      </c>
      <c r="B18" s="20">
        <f>IF($B$8&lt;&gt;"ACTIVO",0,SUMIFS(Movimientos!$F$2:$F$500,Movimientos!$A$2:$A$500,$B$3,Movimientos!$B$2:$B$500,$B$2,Movimientos!$C$2:$C$500,"DEDUCCION"))</f>
        <v>0</v>
      </c>
    </row>
    <row r="19" spans="1:2" x14ac:dyDescent="0.45">
      <c r="A19" s="16" t="s">
        <v>219</v>
      </c>
      <c r="B19" s="21">
        <f>SUM(B17:B18)</f>
        <v>1822</v>
      </c>
    </row>
    <row r="21" spans="1:2" x14ac:dyDescent="0.45">
      <c r="A21" s="16" t="s">
        <v>220</v>
      </c>
      <c r="B21" s="22">
        <f>B15-B19</f>
        <v>13398</v>
      </c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Empleados!$A$2:$A$201</xm:f>
          </x14:formula1>
          <xm:sqref>B2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6"/>
  <sheetViews>
    <sheetView showGridLines="0" workbookViewId="0"/>
  </sheetViews>
  <sheetFormatPr baseColWidth="10" defaultColWidth="9.06640625" defaultRowHeight="14.25" x14ac:dyDescent="0.45"/>
  <cols>
    <col min="1" max="1" customWidth="true" width="12.0"/>
    <col min="2" max="2" customWidth="true" width="28.0"/>
    <col min="3" max="3" customWidth="true" width="22.0"/>
    <col min="4" max="4" customWidth="true" width="24.0"/>
    <col min="5" max="5" customWidth="true" width="15.0"/>
    <col min="6" max="6" customWidth="true" width="14.0"/>
    <col min="7" max="7" customWidth="true" width="15.0"/>
    <col min="8" max="11" customWidth="true" width="18.0"/>
    <col min="12" max="12" customWidth="true" width="17.0"/>
    <col min="13" max="13" customWidth="true" width="15.0"/>
    <col min="14" max="14" customWidth="true" width="12.0"/>
  </cols>
  <sheetData>
    <row r="1" spans="1:14" ht="19.5" x14ac:dyDescent="0.45">
      <c r="A1" s="30" t="s">
        <v>221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45">
      <c r="A2" s="1" t="s">
        <v>198</v>
      </c>
      <c r="B2" s="23" t="str">
        <f>Configuracion!B2</f>
        <v>2026-03</v>
      </c>
    </row>
    <row r="4" spans="1:14" x14ac:dyDescent="0.45">
      <c r="A4" s="3" t="s">
        <v>163</v>
      </c>
      <c r="B4" s="3" t="s">
        <v>167</v>
      </c>
      <c r="C4" s="3" t="s">
        <v>99</v>
      </c>
      <c r="D4" s="3" t="s">
        <v>112</v>
      </c>
      <c r="E4" s="3" t="s">
        <v>212</v>
      </c>
      <c r="F4" s="3" t="s">
        <v>213</v>
      </c>
      <c r="G4" s="3" t="s">
        <v>222</v>
      </c>
      <c r="H4" s="3" t="s">
        <v>223</v>
      </c>
      <c r="I4" s="3" t="s">
        <v>216</v>
      </c>
      <c r="J4" s="3" t="s">
        <v>217</v>
      </c>
      <c r="K4" s="3" t="s">
        <v>224</v>
      </c>
      <c r="L4" s="3" t="s">
        <v>219</v>
      </c>
      <c r="M4" s="3" t="s">
        <v>220</v>
      </c>
      <c r="N4" s="3" t="s">
        <v>170</v>
      </c>
    </row>
    <row r="5" spans="1:14" x14ac:dyDescent="0.45">
      <c r="A5" s="24" t="str">
        <f>IF(ROW()-4&lt;=COUNTA(Empleados!$A$2:$A$201),INDEX(Empleados!$A$2:$A$201,ROW()-4),"")</f>
        <v>E001</v>
      </c>
      <c r="B5" s="25" t="str">
        <f>IF($A5="","",INDEX(Empleados!$E$2:$E$201,MATCH($A5,Empleados!$A$2:$A$201,0)))</f>
        <v>Ana Lopez Ramirez</v>
      </c>
      <c r="C5" s="25" t="str">
        <f>IF($A5="","",INDEX(Empleados!$O$2:$O$201,MATCH($A5,Empleados!$A$2:$A$201,0)))</f>
        <v>Auxiliar Administrativo</v>
      </c>
      <c r="D5" s="25" t="str">
        <f>IF($A5="","",INDEX(Empleados!$P$2:$P$201,MATCH($A5,Empleados!$A$2:$A$201,0)))</f>
        <v>Administracion General</v>
      </c>
      <c r="E5" s="20">
        <f>IF($A5="","",IF($N5&lt;&gt;"ACTIVO",0,INDEX(Empleados!$M$2:$M$201,MATCH($A5,Empleados!$A$2:$A$201,0))))</f>
        <v>12000</v>
      </c>
      <c r="F5" s="20">
        <f>IF($A5="","",IF($N5&lt;&gt;"ACTIVO",0,INDEX(Empleados!$N$2:$N$201,MATCH($A5,Empleados!$A$2:$A$201,0))))</f>
        <v>1000</v>
      </c>
      <c r="G5" s="20">
        <f>IF($A5="","",IF($N5&lt;&gt;"ACTIVO",0,SUMIFS(Conceptos_Pago!$E$2:$E$100,Conceptos_Pago!$C$2:$C$100,"FIJO",Conceptos_Pago!$D$2:$D$100,"SI")))</f>
        <v>1500</v>
      </c>
      <c r="H5" s="20">
        <f>IF($A5="","",IF($N5&lt;&gt;"ACTIVO",0,SUMIFS(Movimientos!$F$2:$F$500,Movimientos!$A$2:$A$500,$B$2,Movimientos!$B$2:$B$500,$A5,Movimientos!$C$2:$C$500,"PAGO")))</f>
        <v>720</v>
      </c>
      <c r="I5" s="20">
        <f t="shared" ref="I5:I36" si="0">IF($A5="","",SUM(E5:H5))</f>
        <v>15220</v>
      </c>
      <c r="J5" s="20">
        <f>IF($A5="","",IF($N5&lt;&gt;"ACTIVO",0,SUMIFS(Deducciones!$E$2:$E$100,Deducciones!$F$2:$F$100,"SI",Deducciones!$G$2:$G$100,"SI",Deducciones!$C$2:$C$100,"FIJO")+E5*SUMIFS(Deducciones!$E$2:$E$100,Deducciones!$F$2:$F$100,"SI",Deducciones!$G$2:$G$100,"SI",Deducciones!$C$2:$C$100,"PORCENTAJE",Deducciones!$D$2:$D$100,"SUELDO_BASE")+I5*SUMIFS(Deducciones!$E$2:$E$100,Deducciones!$F$2:$F$100,"SI",Deducciones!$G$2:$G$100,"SI",Deducciones!$C$2:$C$100,"PORCENTAJE",Deducciones!$D$2:$D$100,"TOTAL_PERCEPCIONES")))</f>
        <v>1822</v>
      </c>
      <c r="K5" s="20">
        <f>IF($A5="","",IF($N5&lt;&gt;"ACTIVO",0,SUMIFS(Movimientos!$F$2:$F$500,Movimientos!$A$2:$A$500,$B$2,Movimientos!$B$2:$B$500,$A5,Movimientos!$C$2:$C$500,"DEDUCCION")))</f>
        <v>0</v>
      </c>
      <c r="L5" s="20">
        <f t="shared" ref="L5:L36" si="1">IF($A5="","",SUM(J5:K5))</f>
        <v>1822</v>
      </c>
      <c r="M5" s="20">
        <f t="shared" ref="M5:M36" si="2">IF($A5="","",I5-L5)</f>
        <v>13398</v>
      </c>
      <c r="N5" s="25" t="str">
        <f>IF($A5="","",INDEX(Empleados!$J$2:$J$201,MATCH($A5,Empleados!$A$2:$A$201,0)))</f>
        <v>ACTIVO</v>
      </c>
    </row>
    <row r="6" spans="1:14" x14ac:dyDescent="0.45">
      <c r="A6" s="24" t="str">
        <f>IF(ROW()-4&lt;=COUNTA(Empleados!$A$2:$A$201),INDEX(Empleados!$A$2:$A$201,ROW()-4),"")</f>
        <v>E002</v>
      </c>
      <c r="B6" s="25" t="str">
        <f>IF($A6="","",INDEX(Empleados!$E$2:$E$201,MATCH($A6,Empleados!$A$2:$A$201,0)))</f>
        <v>Luis Martinez Gomez</v>
      </c>
      <c r="C6" s="25" t="str">
        <f>IF($A6="","",INDEX(Empleados!$O$2:$O$201,MATCH($A6,Empleados!$A$2:$A$201,0)))</f>
        <v>Analista</v>
      </c>
      <c r="D6" s="25" t="str">
        <f>IF($A6="","",INDEX(Empleados!$P$2:$P$201,MATCH($A6,Empleados!$A$2:$A$201,0)))</f>
        <v>Analisis de Datos</v>
      </c>
      <c r="E6" s="20">
        <f>IF($A6="","",IF($N6&lt;&gt;"ACTIVO",0,INDEX(Empleados!$M$2:$M$201,MATCH($A6,Empleados!$A$2:$A$201,0))))</f>
        <v>18000</v>
      </c>
      <c r="F6" s="20">
        <f>IF($A6="","",IF($N6&lt;&gt;"ACTIVO",0,INDEX(Empleados!$N$2:$N$201,MATCH($A6,Empleados!$A$2:$A$201,0))))</f>
        <v>1500</v>
      </c>
      <c r="G6" s="20">
        <f>IF($A6="","",IF($N6&lt;&gt;"ACTIVO",0,SUMIFS(Conceptos_Pago!$E$2:$E$100,Conceptos_Pago!$C$2:$C$100,"FIJO",Conceptos_Pago!$D$2:$D$100,"SI")))</f>
        <v>1500</v>
      </c>
      <c r="H6" s="20">
        <f>IF($A6="","",IF($N6&lt;&gt;"ACTIVO",0,SUMIFS(Movimientos!$F$2:$F$500,Movimientos!$A$2:$A$500,$B$2,Movimientos!$B$2:$B$500,$A6,Movimientos!$C$2:$C$500,"PAGO")))</f>
        <v>1500</v>
      </c>
      <c r="I6" s="20">
        <f t="shared" si="0"/>
        <v>22500</v>
      </c>
      <c r="J6" s="20">
        <f>IF($A6="","",IF($N6&lt;&gt;"ACTIVO",0,SUMIFS(Deducciones!$E$2:$E$100,Deducciones!$F$2:$F$100,"SI",Deducciones!$G$2:$G$100,"SI",Deducciones!$C$2:$C$100,"FIJO")+E6*SUMIFS(Deducciones!$E$2:$E$100,Deducciones!$F$2:$F$100,"SI",Deducciones!$G$2:$G$100,"SI",Deducciones!$C$2:$C$100,"PORCENTAJE",Deducciones!$D$2:$D$100,"SUELDO_BASE")+I6*SUMIFS(Deducciones!$E$2:$E$100,Deducciones!$F$2:$F$100,"SI",Deducciones!$G$2:$G$100,"SI",Deducciones!$C$2:$C$100,"PORCENTAJE",Deducciones!$D$2:$D$100,"TOTAL_PERCEPCIONES")))</f>
        <v>2700</v>
      </c>
      <c r="K6" s="20">
        <f>IF($A6="","",IF($N6&lt;&gt;"ACTIVO",0,SUMIFS(Movimientos!$F$2:$F$500,Movimientos!$A$2:$A$500,$B$2,Movimientos!$B$2:$B$500,$A6,Movimientos!$C$2:$C$500,"DEDUCCION")))</f>
        <v>0</v>
      </c>
      <c r="L6" s="20">
        <f t="shared" si="1"/>
        <v>2700</v>
      </c>
      <c r="M6" s="20">
        <f t="shared" si="2"/>
        <v>19800</v>
      </c>
      <c r="N6" s="25" t="str">
        <f>IF($A6="","",INDEX(Empleados!$J$2:$J$201,MATCH($A6,Empleados!$A$2:$A$201,0)))</f>
        <v>ACTIVO</v>
      </c>
    </row>
    <row r="7" spans="1:14" x14ac:dyDescent="0.45">
      <c r="A7" s="24" t="str">
        <f>IF(ROW()-4&lt;=COUNTA(Empleados!$A$2:$A$201),INDEX(Empleados!$A$2:$A$201,ROW()-4),"")</f>
        <v>E003</v>
      </c>
      <c r="B7" s="25" t="str">
        <f>IF($A7="","",INDEX(Empleados!$E$2:$E$201,MATCH($A7,Empleados!$A$2:$A$201,0)))</f>
        <v>Sofia Hernandez Perez</v>
      </c>
      <c r="C7" s="25" t="str">
        <f>IF($A7="","",INDEX(Empleados!$O$2:$O$201,MATCH($A7,Empleados!$A$2:$A$201,0)))</f>
        <v>Supervisor</v>
      </c>
      <c r="D7" s="25" t="str">
        <f>IF($A7="","",INDEX(Empleados!$P$2:$P$201,MATCH($A7,Empleados!$A$2:$A$201,0)))</f>
        <v>Operacion Campo</v>
      </c>
      <c r="E7" s="20">
        <f>IF($A7="","",IF($N7&lt;&gt;"ACTIVO",0,INDEX(Empleados!$M$2:$M$201,MATCH($A7,Empleados!$A$2:$A$201,0))))</f>
        <v>28000</v>
      </c>
      <c r="F7" s="20">
        <f>IF($A7="","",IF($N7&lt;&gt;"ACTIVO",0,INDEX(Empleados!$N$2:$N$201,MATCH($A7,Empleados!$A$2:$A$201,0))))</f>
        <v>3000</v>
      </c>
      <c r="G7" s="20">
        <f>IF($A7="","",IF($N7&lt;&gt;"ACTIVO",0,SUMIFS(Conceptos_Pago!$E$2:$E$100,Conceptos_Pago!$C$2:$C$100,"FIJO",Conceptos_Pago!$D$2:$D$100,"SI")))</f>
        <v>1500</v>
      </c>
      <c r="H7" s="20">
        <f>IF($A7="","",IF($N7&lt;&gt;"ACTIVO",0,SUMIFS(Movimientos!$F$2:$F$500,Movimientos!$A$2:$A$500,$B$2,Movimientos!$B$2:$B$500,$A7,Movimientos!$C$2:$C$500,"PAGO")))</f>
        <v>0</v>
      </c>
      <c r="I7" s="20">
        <f t="shared" si="0"/>
        <v>32500</v>
      </c>
      <c r="J7" s="20">
        <f>IF($A7="","",IF($N7&lt;&gt;"ACTIVO",0,SUMIFS(Deducciones!$E$2:$E$100,Deducciones!$F$2:$F$100,"SI",Deducciones!$G$2:$G$100,"SI",Deducciones!$C$2:$C$100,"FIJO")+E7*SUMIFS(Deducciones!$E$2:$E$100,Deducciones!$F$2:$F$100,"SI",Deducciones!$G$2:$G$100,"SI",Deducciones!$C$2:$C$100,"PORCENTAJE",Deducciones!$D$2:$D$100,"SUELDO_BASE")+I7*SUMIFS(Deducciones!$E$2:$E$100,Deducciones!$F$2:$F$100,"SI",Deducciones!$G$2:$G$100,"SI",Deducciones!$C$2:$C$100,"PORCENTAJE",Deducciones!$D$2:$D$100,"TOTAL_PERCEPCIONES")))</f>
        <v>3950</v>
      </c>
      <c r="K7" s="20">
        <f>IF($A7="","",IF($N7&lt;&gt;"ACTIVO",0,SUMIFS(Movimientos!$F$2:$F$500,Movimientos!$A$2:$A$500,$B$2,Movimientos!$B$2:$B$500,$A7,Movimientos!$C$2:$C$500,"DEDUCCION")))</f>
        <v>900</v>
      </c>
      <c r="L7" s="20">
        <f t="shared" si="1"/>
        <v>4850</v>
      </c>
      <c r="M7" s="20">
        <f t="shared" si="2"/>
        <v>27650</v>
      </c>
      <c r="N7" s="25" t="str">
        <f>IF($A7="","",INDEX(Empleados!$J$2:$J$201,MATCH($A7,Empleados!$A$2:$A$201,0)))</f>
        <v>ACTIVO</v>
      </c>
    </row>
    <row r="8" spans="1:14" x14ac:dyDescent="0.45">
      <c r="A8" s="24" t="str">
        <f>IF(ROW()-4&lt;=COUNTA(Empleados!$A$2:$A$201),INDEX(Empleados!$A$2:$A$201,ROW()-4),"")</f>
        <v>E004</v>
      </c>
      <c r="B8" s="25">
        <f>IF($A8="","",INDEX(Empleados!$E$2:$E$201,MATCH($A8,Empleados!$A$2:$A$201,0)))</f>
        <v>0</v>
      </c>
      <c r="C8" s="25" t="str">
        <f>IF($A8="","",INDEX(Empleados!$O$2:$O$201,MATCH($A8,Empleados!$A$2:$A$201,0)))</f>
        <v>privada</v>
      </c>
      <c r="D8" s="25" t="str">
        <f>IF($A8="","",INDEX(Empleados!$P$2:$P$201,MATCH($A8,Empleados!$A$2:$A$201,0)))</f>
        <v>25</v>
      </c>
      <c r="E8" s="20">
        <f>IF($A8="","",IF($N8&lt;&gt;"ACTIVO",0,INDEX(Empleados!$M$2:$M$201,MATCH($A8,Empleados!$A$2:$A$201,0))))</f>
        <v>0</v>
      </c>
      <c r="F8" s="20">
        <f>IF($A8="","",IF($N8&lt;&gt;"ACTIVO",0,INDEX(Empleados!$N$2:$N$201,MATCH($A8,Empleados!$A$2:$A$201,0))))</f>
        <v>0</v>
      </c>
      <c r="G8" s="20">
        <f>IF($A8="","",IF($N8&lt;&gt;"ACTIVO",0,SUMIFS(Conceptos_Pago!$E$2:$E$100,Conceptos_Pago!$C$2:$C$100,"FIJO",Conceptos_Pago!$D$2:$D$100,"SI")))</f>
        <v>0</v>
      </c>
      <c r="H8" s="20">
        <f>IF($A8="","",IF($N8&lt;&gt;"ACTIVO",0,SUMIFS(Movimientos!$F$2:$F$500,Movimientos!$A$2:$A$500,$B$2,Movimientos!$B$2:$B$500,$A8,Movimientos!$C$2:$C$500,"PAGO")))</f>
        <v>0</v>
      </c>
      <c r="I8" s="20">
        <f t="shared" si="0"/>
        <v>0</v>
      </c>
      <c r="J8" s="20">
        <f>IF($A8="","",IF($N8&lt;&gt;"ACTIVO",0,SUMIFS(Deducciones!$E$2:$E$100,Deducciones!$F$2:$F$100,"SI",Deducciones!$G$2:$G$100,"SI",Deducciones!$C$2:$C$100,"FIJO")+E8*SUMIFS(Deducciones!$E$2:$E$100,Deducciones!$F$2:$F$100,"SI",Deducciones!$G$2:$G$100,"SI",Deducciones!$C$2:$C$100,"PORCENTAJE",Deducciones!$D$2:$D$100,"SUELDO_BASE")+I8*SUMIFS(Deducciones!$E$2:$E$100,Deducciones!$F$2:$F$100,"SI",Deducciones!$G$2:$G$100,"SI",Deducciones!$C$2:$C$100,"PORCENTAJE",Deducciones!$D$2:$D$100,"TOTAL_PERCEPCIONES")))</f>
        <v>0</v>
      </c>
      <c r="K8" s="20">
        <f>IF($A8="","",IF($N8&lt;&gt;"ACTIVO",0,SUMIFS(Movimientos!$F$2:$F$500,Movimientos!$A$2:$A$500,$B$2,Movimientos!$B$2:$B$500,$A8,Movimientos!$C$2:$C$500,"DEDUCCION")))</f>
        <v>0</v>
      </c>
      <c r="L8" s="20">
        <f t="shared" si="1"/>
        <v>0</v>
      </c>
      <c r="M8" s="20">
        <f t="shared" si="2"/>
        <v>0</v>
      </c>
      <c r="N8" s="25" t="str">
        <f>IF($A8="","",INDEX(Empleados!$J$2:$J$201,MATCH($A8,Empleados!$A$2:$A$201,0)))</f>
        <v>INACTIVO</v>
      </c>
    </row>
    <row r="9" spans="1:14" x14ac:dyDescent="0.45">
      <c r="A9" s="24" t="str">
        <f>IF(ROW()-4&lt;=COUNTA(Empleados!$A$2:$A$201),INDEX(Empleados!$A$2:$A$201,ROW()-4),"")</f>
        <v/>
      </c>
      <c r="B9" s="25" t="str">
        <f>IF($A9="","",INDEX(Empleados!$E$2:$E$201,MATCH($A9,Empleados!$A$2:$A$201,0)))</f>
        <v/>
      </c>
      <c r="C9" s="25" t="str">
        <f>IF($A9="","",INDEX(Empleados!$O$2:$O$201,MATCH($A9,Empleados!$A$2:$A$201,0)))</f>
        <v/>
      </c>
      <c r="D9" s="25" t="str">
        <f>IF($A9="","",INDEX(Empleados!$P$2:$P$201,MATCH($A9,Empleados!$A$2:$A$201,0)))</f>
        <v/>
      </c>
      <c r="E9" s="20" t="str">
        <f>IF($A9="","",IF($N9&lt;&gt;"ACTIVO",0,INDEX(Empleados!$M$2:$M$201,MATCH($A9,Empleados!$A$2:$A$201,0))))</f>
        <v/>
      </c>
      <c r="F9" s="20" t="str">
        <f>IF($A9="","",IF($N9&lt;&gt;"ACTIVO",0,INDEX(Empleados!$N$2:$N$201,MATCH($A9,Empleados!$A$2:$A$201,0))))</f>
        <v/>
      </c>
      <c r="G9" s="20" t="str">
        <f>IF($A9="","",IF($N9&lt;&gt;"ACTIVO",0,SUMIFS(Conceptos_Pago!$E$2:$E$100,Conceptos_Pago!$C$2:$C$100,"FIJO",Conceptos_Pago!$D$2:$D$100,"SI")))</f>
        <v/>
      </c>
      <c r="H9" s="20" t="str">
        <f>IF($A9="","",IF($N9&lt;&gt;"ACTIVO",0,SUMIFS(Movimientos!$F$2:$F$500,Movimientos!$A$2:$A$500,$B$2,Movimientos!$B$2:$B$500,$A9,Movimientos!$C$2:$C$500,"PAGO")))</f>
        <v/>
      </c>
      <c r="I9" s="20" t="str">
        <f t="shared" si="0"/>
        <v/>
      </c>
      <c r="J9" s="20" t="str">
        <f>IF($A9="","",IF($N9&lt;&gt;"ACTIVO",0,SUMIFS(Deducciones!$E$2:$E$100,Deducciones!$F$2:$F$100,"SI",Deducciones!$G$2:$G$100,"SI",Deducciones!$C$2:$C$100,"FIJO")+E9*SUMIFS(Deducciones!$E$2:$E$100,Deducciones!$F$2:$F$100,"SI",Deducciones!$G$2:$G$100,"SI",Deducciones!$C$2:$C$100,"PORCENTAJE",Deducciones!$D$2:$D$100,"SUELDO_BASE")+I9*SUMIFS(Deducciones!$E$2:$E$100,Deducciones!$F$2:$F$100,"SI",Deducciones!$G$2:$G$100,"SI",Deducciones!$C$2:$C$100,"PORCENTAJE",Deducciones!$D$2:$D$100,"TOTAL_PERCEPCIONES")))</f>
        <v/>
      </c>
      <c r="K9" s="20" t="str">
        <f>IF($A9="","",IF($N9&lt;&gt;"ACTIVO",0,SUMIFS(Movimientos!$F$2:$F$500,Movimientos!$A$2:$A$500,$B$2,Movimientos!$B$2:$B$500,$A9,Movimientos!$C$2:$C$500,"DEDUCCION")))</f>
        <v/>
      </c>
      <c r="L9" s="20" t="str">
        <f t="shared" si="1"/>
        <v/>
      </c>
      <c r="M9" s="20" t="str">
        <f t="shared" si="2"/>
        <v/>
      </c>
      <c r="N9" s="25" t="str">
        <f>IF($A9="","",INDEX(Empleados!$J$2:$J$201,MATCH($A9,Empleados!$A$2:$A$201,0)))</f>
        <v/>
      </c>
    </row>
    <row r="10" spans="1:14" x14ac:dyDescent="0.45">
      <c r="A10" s="24" t="str">
        <f>IF(ROW()-4&lt;=COUNTA(Empleados!$A$2:$A$201),INDEX(Empleados!$A$2:$A$201,ROW()-4),"")</f>
        <v/>
      </c>
      <c r="B10" s="25" t="str">
        <f>IF($A10="","",INDEX(Empleados!$E$2:$E$201,MATCH($A10,Empleados!$A$2:$A$201,0)))</f>
        <v/>
      </c>
      <c r="C10" s="25" t="str">
        <f>IF($A10="","",INDEX(Empleados!$O$2:$O$201,MATCH($A10,Empleados!$A$2:$A$201,0)))</f>
        <v/>
      </c>
      <c r="D10" s="25" t="str">
        <f>IF($A10="","",INDEX(Empleados!$P$2:$P$201,MATCH($A10,Empleados!$A$2:$A$201,0)))</f>
        <v/>
      </c>
      <c r="E10" s="20" t="str">
        <f>IF($A10="","",IF($N10&lt;&gt;"ACTIVO",0,INDEX(Empleados!$M$2:$M$201,MATCH($A10,Empleados!$A$2:$A$201,0))))</f>
        <v/>
      </c>
      <c r="F10" s="20" t="str">
        <f>IF($A10="","",IF($N10&lt;&gt;"ACTIVO",0,INDEX(Empleados!$N$2:$N$201,MATCH($A10,Empleados!$A$2:$A$201,0))))</f>
        <v/>
      </c>
      <c r="G10" s="20" t="str">
        <f>IF($A10="","",IF($N10&lt;&gt;"ACTIVO",0,SUMIFS(Conceptos_Pago!$E$2:$E$100,Conceptos_Pago!$C$2:$C$100,"FIJO",Conceptos_Pago!$D$2:$D$100,"SI")))</f>
        <v/>
      </c>
      <c r="H10" s="20" t="str">
        <f>IF($A10="","",IF($N10&lt;&gt;"ACTIVO",0,SUMIFS(Movimientos!$F$2:$F$500,Movimientos!$A$2:$A$500,$B$2,Movimientos!$B$2:$B$500,$A10,Movimientos!$C$2:$C$500,"PAGO")))</f>
        <v/>
      </c>
      <c r="I10" s="20" t="str">
        <f t="shared" si="0"/>
        <v/>
      </c>
      <c r="J10" s="20" t="str">
        <f>IF($A10="","",IF($N10&lt;&gt;"ACTIVO",0,SUMIFS(Deducciones!$E$2:$E$100,Deducciones!$F$2:$F$100,"SI",Deducciones!$G$2:$G$100,"SI",Deducciones!$C$2:$C$100,"FIJO")+E10*SUMIFS(Deducciones!$E$2:$E$100,Deducciones!$F$2:$F$100,"SI",Deducciones!$G$2:$G$100,"SI",Deducciones!$C$2:$C$100,"PORCENTAJE",Deducciones!$D$2:$D$100,"SUELDO_BASE")+I10*SUMIFS(Deducciones!$E$2:$E$100,Deducciones!$F$2:$F$100,"SI",Deducciones!$G$2:$G$100,"SI",Deducciones!$C$2:$C$100,"PORCENTAJE",Deducciones!$D$2:$D$100,"TOTAL_PERCEPCIONES")))</f>
        <v/>
      </c>
      <c r="K10" s="20" t="str">
        <f>IF($A10="","",IF($N10&lt;&gt;"ACTIVO",0,SUMIFS(Movimientos!$F$2:$F$500,Movimientos!$A$2:$A$500,$B$2,Movimientos!$B$2:$B$500,$A10,Movimientos!$C$2:$C$500,"DEDUCCION")))</f>
        <v/>
      </c>
      <c r="L10" s="20" t="str">
        <f t="shared" si="1"/>
        <v/>
      </c>
      <c r="M10" s="20" t="str">
        <f t="shared" si="2"/>
        <v/>
      </c>
      <c r="N10" s="25" t="str">
        <f>IF($A10="","",INDEX(Empleados!$J$2:$J$201,MATCH($A10,Empleados!$A$2:$A$201,0)))</f>
        <v/>
      </c>
    </row>
    <row r="11" spans="1:14" x14ac:dyDescent="0.45">
      <c r="A11" s="24" t="str">
        <f>IF(ROW()-4&lt;=COUNTA(Empleados!$A$2:$A$201),INDEX(Empleados!$A$2:$A$201,ROW()-4),"")</f>
        <v/>
      </c>
      <c r="B11" s="25" t="str">
        <f>IF($A11="","",INDEX(Empleados!$E$2:$E$201,MATCH($A11,Empleados!$A$2:$A$201,0)))</f>
        <v/>
      </c>
      <c r="C11" s="25" t="str">
        <f>IF($A11="","",INDEX(Empleados!$O$2:$O$201,MATCH($A11,Empleados!$A$2:$A$201,0)))</f>
        <v/>
      </c>
      <c r="D11" s="25" t="str">
        <f>IF($A11="","",INDEX(Empleados!$P$2:$P$201,MATCH($A11,Empleados!$A$2:$A$201,0)))</f>
        <v/>
      </c>
      <c r="E11" s="20" t="str">
        <f>IF($A11="","",IF($N11&lt;&gt;"ACTIVO",0,INDEX(Empleados!$M$2:$M$201,MATCH($A11,Empleados!$A$2:$A$201,0))))</f>
        <v/>
      </c>
      <c r="F11" s="20" t="str">
        <f>IF($A11="","",IF($N11&lt;&gt;"ACTIVO",0,INDEX(Empleados!$N$2:$N$201,MATCH($A11,Empleados!$A$2:$A$201,0))))</f>
        <v/>
      </c>
      <c r="G11" s="20" t="str">
        <f>IF($A11="","",IF($N11&lt;&gt;"ACTIVO",0,SUMIFS(Conceptos_Pago!$E$2:$E$100,Conceptos_Pago!$C$2:$C$100,"FIJO",Conceptos_Pago!$D$2:$D$100,"SI")))</f>
        <v/>
      </c>
      <c r="H11" s="20" t="str">
        <f>IF($A11="","",IF($N11&lt;&gt;"ACTIVO",0,SUMIFS(Movimientos!$F$2:$F$500,Movimientos!$A$2:$A$500,$B$2,Movimientos!$B$2:$B$500,$A11,Movimientos!$C$2:$C$500,"PAGO")))</f>
        <v/>
      </c>
      <c r="I11" s="20" t="str">
        <f t="shared" si="0"/>
        <v/>
      </c>
      <c r="J11" s="20" t="str">
        <f>IF($A11="","",IF($N11&lt;&gt;"ACTIVO",0,SUMIFS(Deducciones!$E$2:$E$100,Deducciones!$F$2:$F$100,"SI",Deducciones!$G$2:$G$100,"SI",Deducciones!$C$2:$C$100,"FIJO")+E11*SUMIFS(Deducciones!$E$2:$E$100,Deducciones!$F$2:$F$100,"SI",Deducciones!$G$2:$G$100,"SI",Deducciones!$C$2:$C$100,"PORCENTAJE",Deducciones!$D$2:$D$100,"SUELDO_BASE")+I11*SUMIFS(Deducciones!$E$2:$E$100,Deducciones!$F$2:$F$100,"SI",Deducciones!$G$2:$G$100,"SI",Deducciones!$C$2:$C$100,"PORCENTAJE",Deducciones!$D$2:$D$100,"TOTAL_PERCEPCIONES")))</f>
        <v/>
      </c>
      <c r="K11" s="20" t="str">
        <f>IF($A11="","",IF($N11&lt;&gt;"ACTIVO",0,SUMIFS(Movimientos!$F$2:$F$500,Movimientos!$A$2:$A$500,$B$2,Movimientos!$B$2:$B$500,$A11,Movimientos!$C$2:$C$500,"DEDUCCION")))</f>
        <v/>
      </c>
      <c r="L11" s="20" t="str">
        <f t="shared" si="1"/>
        <v/>
      </c>
      <c r="M11" s="20" t="str">
        <f t="shared" si="2"/>
        <v/>
      </c>
      <c r="N11" s="25" t="str">
        <f>IF($A11="","",INDEX(Empleados!$J$2:$J$201,MATCH($A11,Empleados!$A$2:$A$201,0)))</f>
        <v/>
      </c>
    </row>
    <row r="12" spans="1:14" x14ac:dyDescent="0.45">
      <c r="A12" s="24" t="str">
        <f>IF(ROW()-4&lt;=COUNTA(Empleados!$A$2:$A$201),INDEX(Empleados!$A$2:$A$201,ROW()-4),"")</f>
        <v/>
      </c>
      <c r="B12" s="25" t="str">
        <f>IF($A12="","",INDEX(Empleados!$E$2:$E$201,MATCH($A12,Empleados!$A$2:$A$201,0)))</f>
        <v/>
      </c>
      <c r="C12" s="25" t="str">
        <f>IF($A12="","",INDEX(Empleados!$O$2:$O$201,MATCH($A12,Empleados!$A$2:$A$201,0)))</f>
        <v/>
      </c>
      <c r="D12" s="25" t="str">
        <f>IF($A12="","",INDEX(Empleados!$P$2:$P$201,MATCH($A12,Empleados!$A$2:$A$201,0)))</f>
        <v/>
      </c>
      <c r="E12" s="20" t="str">
        <f>IF($A12="","",IF($N12&lt;&gt;"ACTIVO",0,INDEX(Empleados!$M$2:$M$201,MATCH($A12,Empleados!$A$2:$A$201,0))))</f>
        <v/>
      </c>
      <c r="F12" s="20" t="str">
        <f>IF($A12="","",IF($N12&lt;&gt;"ACTIVO",0,INDEX(Empleados!$N$2:$N$201,MATCH($A12,Empleados!$A$2:$A$201,0))))</f>
        <v/>
      </c>
      <c r="G12" s="20" t="str">
        <f>IF($A12="","",IF($N12&lt;&gt;"ACTIVO",0,SUMIFS(Conceptos_Pago!$E$2:$E$100,Conceptos_Pago!$C$2:$C$100,"FIJO",Conceptos_Pago!$D$2:$D$100,"SI")))</f>
        <v/>
      </c>
      <c r="H12" s="20" t="str">
        <f>IF($A12="","",IF($N12&lt;&gt;"ACTIVO",0,SUMIFS(Movimientos!$F$2:$F$500,Movimientos!$A$2:$A$500,$B$2,Movimientos!$B$2:$B$500,$A12,Movimientos!$C$2:$C$500,"PAGO")))</f>
        <v/>
      </c>
      <c r="I12" s="20" t="str">
        <f t="shared" si="0"/>
        <v/>
      </c>
      <c r="J12" s="20" t="str">
        <f>IF($A12="","",IF($N12&lt;&gt;"ACTIVO",0,SUMIFS(Deducciones!$E$2:$E$100,Deducciones!$F$2:$F$100,"SI",Deducciones!$G$2:$G$100,"SI",Deducciones!$C$2:$C$100,"FIJO")+E12*SUMIFS(Deducciones!$E$2:$E$100,Deducciones!$F$2:$F$100,"SI",Deducciones!$G$2:$G$100,"SI",Deducciones!$C$2:$C$100,"PORCENTAJE",Deducciones!$D$2:$D$100,"SUELDO_BASE")+I12*SUMIFS(Deducciones!$E$2:$E$100,Deducciones!$F$2:$F$100,"SI",Deducciones!$G$2:$G$100,"SI",Deducciones!$C$2:$C$100,"PORCENTAJE",Deducciones!$D$2:$D$100,"TOTAL_PERCEPCIONES")))</f>
        <v/>
      </c>
      <c r="K12" s="20" t="str">
        <f>IF($A12="","",IF($N12&lt;&gt;"ACTIVO",0,SUMIFS(Movimientos!$F$2:$F$500,Movimientos!$A$2:$A$500,$B$2,Movimientos!$B$2:$B$500,$A12,Movimientos!$C$2:$C$500,"DEDUCCION")))</f>
        <v/>
      </c>
      <c r="L12" s="20" t="str">
        <f t="shared" si="1"/>
        <v/>
      </c>
      <c r="M12" s="20" t="str">
        <f t="shared" si="2"/>
        <v/>
      </c>
      <c r="N12" s="25" t="str">
        <f>IF($A12="","",INDEX(Empleados!$J$2:$J$201,MATCH($A12,Empleados!$A$2:$A$201,0)))</f>
        <v/>
      </c>
    </row>
    <row r="13" spans="1:14" x14ac:dyDescent="0.45">
      <c r="A13" s="24" t="str">
        <f>IF(ROW()-4&lt;=COUNTA(Empleados!$A$2:$A$201),INDEX(Empleados!$A$2:$A$201,ROW()-4),"")</f>
        <v/>
      </c>
      <c r="B13" s="25" t="str">
        <f>IF($A13="","",INDEX(Empleados!$E$2:$E$201,MATCH($A13,Empleados!$A$2:$A$201,0)))</f>
        <v/>
      </c>
      <c r="C13" s="25" t="str">
        <f>IF($A13="","",INDEX(Empleados!$O$2:$O$201,MATCH($A13,Empleados!$A$2:$A$201,0)))</f>
        <v/>
      </c>
      <c r="D13" s="25" t="str">
        <f>IF($A13="","",INDEX(Empleados!$P$2:$P$201,MATCH($A13,Empleados!$A$2:$A$201,0)))</f>
        <v/>
      </c>
      <c r="E13" s="20" t="str">
        <f>IF($A13="","",IF($N13&lt;&gt;"ACTIVO",0,INDEX(Empleados!$M$2:$M$201,MATCH($A13,Empleados!$A$2:$A$201,0))))</f>
        <v/>
      </c>
      <c r="F13" s="20" t="str">
        <f>IF($A13="","",IF($N13&lt;&gt;"ACTIVO",0,INDEX(Empleados!$N$2:$N$201,MATCH($A13,Empleados!$A$2:$A$201,0))))</f>
        <v/>
      </c>
      <c r="G13" s="20" t="str">
        <f>IF($A13="","",IF($N13&lt;&gt;"ACTIVO",0,SUMIFS(Conceptos_Pago!$E$2:$E$100,Conceptos_Pago!$C$2:$C$100,"FIJO",Conceptos_Pago!$D$2:$D$100,"SI")))</f>
        <v/>
      </c>
      <c r="H13" s="20" t="str">
        <f>IF($A13="","",IF($N13&lt;&gt;"ACTIVO",0,SUMIFS(Movimientos!$F$2:$F$500,Movimientos!$A$2:$A$500,$B$2,Movimientos!$B$2:$B$500,$A13,Movimientos!$C$2:$C$500,"PAGO")))</f>
        <v/>
      </c>
      <c r="I13" s="20" t="str">
        <f t="shared" si="0"/>
        <v/>
      </c>
      <c r="J13" s="20" t="str">
        <f>IF($A13="","",IF($N13&lt;&gt;"ACTIVO",0,SUMIFS(Deducciones!$E$2:$E$100,Deducciones!$F$2:$F$100,"SI",Deducciones!$G$2:$G$100,"SI",Deducciones!$C$2:$C$100,"FIJO")+E13*SUMIFS(Deducciones!$E$2:$E$100,Deducciones!$F$2:$F$100,"SI",Deducciones!$G$2:$G$100,"SI",Deducciones!$C$2:$C$100,"PORCENTAJE",Deducciones!$D$2:$D$100,"SUELDO_BASE")+I13*SUMIFS(Deducciones!$E$2:$E$100,Deducciones!$F$2:$F$100,"SI",Deducciones!$G$2:$G$100,"SI",Deducciones!$C$2:$C$100,"PORCENTAJE",Deducciones!$D$2:$D$100,"TOTAL_PERCEPCIONES")))</f>
        <v/>
      </c>
      <c r="K13" s="20" t="str">
        <f>IF($A13="","",IF($N13&lt;&gt;"ACTIVO",0,SUMIFS(Movimientos!$F$2:$F$500,Movimientos!$A$2:$A$500,$B$2,Movimientos!$B$2:$B$500,$A13,Movimientos!$C$2:$C$500,"DEDUCCION")))</f>
        <v/>
      </c>
      <c r="L13" s="20" t="str">
        <f t="shared" si="1"/>
        <v/>
      </c>
      <c r="M13" s="20" t="str">
        <f t="shared" si="2"/>
        <v/>
      </c>
      <c r="N13" s="25" t="str">
        <f>IF($A13="","",INDEX(Empleados!$J$2:$J$201,MATCH($A13,Empleados!$A$2:$A$201,0)))</f>
        <v/>
      </c>
    </row>
    <row r="14" spans="1:14" x14ac:dyDescent="0.45">
      <c r="A14" s="24" t="str">
        <f>IF(ROW()-4&lt;=COUNTA(Empleados!$A$2:$A$201),INDEX(Empleados!$A$2:$A$201,ROW()-4),"")</f>
        <v/>
      </c>
      <c r="B14" s="25" t="str">
        <f>IF($A14="","",INDEX(Empleados!$E$2:$E$201,MATCH($A14,Empleados!$A$2:$A$201,0)))</f>
        <v/>
      </c>
      <c r="C14" s="25" t="str">
        <f>IF($A14="","",INDEX(Empleados!$O$2:$O$201,MATCH($A14,Empleados!$A$2:$A$201,0)))</f>
        <v/>
      </c>
      <c r="D14" s="25" t="str">
        <f>IF($A14="","",INDEX(Empleados!$P$2:$P$201,MATCH($A14,Empleados!$A$2:$A$201,0)))</f>
        <v/>
      </c>
      <c r="E14" s="20" t="str">
        <f>IF($A14="","",IF($N14&lt;&gt;"ACTIVO",0,INDEX(Empleados!$M$2:$M$201,MATCH($A14,Empleados!$A$2:$A$201,0))))</f>
        <v/>
      </c>
      <c r="F14" s="20" t="str">
        <f>IF($A14="","",IF($N14&lt;&gt;"ACTIVO",0,INDEX(Empleados!$N$2:$N$201,MATCH($A14,Empleados!$A$2:$A$201,0))))</f>
        <v/>
      </c>
      <c r="G14" s="20" t="str">
        <f>IF($A14="","",IF($N14&lt;&gt;"ACTIVO",0,SUMIFS(Conceptos_Pago!$E$2:$E$100,Conceptos_Pago!$C$2:$C$100,"FIJO",Conceptos_Pago!$D$2:$D$100,"SI")))</f>
        <v/>
      </c>
      <c r="H14" s="20" t="str">
        <f>IF($A14="","",IF($N14&lt;&gt;"ACTIVO",0,SUMIFS(Movimientos!$F$2:$F$500,Movimientos!$A$2:$A$500,$B$2,Movimientos!$B$2:$B$500,$A14,Movimientos!$C$2:$C$500,"PAGO")))</f>
        <v/>
      </c>
      <c r="I14" s="20" t="str">
        <f t="shared" si="0"/>
        <v/>
      </c>
      <c r="J14" s="20" t="str">
        <f>IF($A14="","",IF($N14&lt;&gt;"ACTIVO",0,SUMIFS(Deducciones!$E$2:$E$100,Deducciones!$F$2:$F$100,"SI",Deducciones!$G$2:$G$100,"SI",Deducciones!$C$2:$C$100,"FIJO")+E14*SUMIFS(Deducciones!$E$2:$E$100,Deducciones!$F$2:$F$100,"SI",Deducciones!$G$2:$G$100,"SI",Deducciones!$C$2:$C$100,"PORCENTAJE",Deducciones!$D$2:$D$100,"SUELDO_BASE")+I14*SUMIFS(Deducciones!$E$2:$E$100,Deducciones!$F$2:$F$100,"SI",Deducciones!$G$2:$G$100,"SI",Deducciones!$C$2:$C$100,"PORCENTAJE",Deducciones!$D$2:$D$100,"TOTAL_PERCEPCIONES")))</f>
        <v/>
      </c>
      <c r="K14" s="20" t="str">
        <f>IF($A14="","",IF($N14&lt;&gt;"ACTIVO",0,SUMIFS(Movimientos!$F$2:$F$500,Movimientos!$A$2:$A$500,$B$2,Movimientos!$B$2:$B$500,$A14,Movimientos!$C$2:$C$500,"DEDUCCION")))</f>
        <v/>
      </c>
      <c r="L14" s="20" t="str">
        <f t="shared" si="1"/>
        <v/>
      </c>
      <c r="M14" s="20" t="str">
        <f t="shared" si="2"/>
        <v/>
      </c>
      <c r="N14" s="25" t="str">
        <f>IF($A14="","",INDEX(Empleados!$J$2:$J$201,MATCH($A14,Empleados!$A$2:$A$201,0)))</f>
        <v/>
      </c>
    </row>
    <row r="15" spans="1:14" x14ac:dyDescent="0.45">
      <c r="A15" s="24" t="str">
        <f>IF(ROW()-4&lt;=COUNTA(Empleados!$A$2:$A$201),INDEX(Empleados!$A$2:$A$201,ROW()-4),"")</f>
        <v/>
      </c>
      <c r="B15" s="25" t="str">
        <f>IF($A15="","",INDEX(Empleados!$E$2:$E$201,MATCH($A15,Empleados!$A$2:$A$201,0)))</f>
        <v/>
      </c>
      <c r="C15" s="25" t="str">
        <f>IF($A15="","",INDEX(Empleados!$O$2:$O$201,MATCH($A15,Empleados!$A$2:$A$201,0)))</f>
        <v/>
      </c>
      <c r="D15" s="25" t="str">
        <f>IF($A15="","",INDEX(Empleados!$P$2:$P$201,MATCH($A15,Empleados!$A$2:$A$201,0)))</f>
        <v/>
      </c>
      <c r="E15" s="20" t="str">
        <f>IF($A15="","",IF($N15&lt;&gt;"ACTIVO",0,INDEX(Empleados!$M$2:$M$201,MATCH($A15,Empleados!$A$2:$A$201,0))))</f>
        <v/>
      </c>
      <c r="F15" s="20" t="str">
        <f>IF($A15="","",IF($N15&lt;&gt;"ACTIVO",0,INDEX(Empleados!$N$2:$N$201,MATCH($A15,Empleados!$A$2:$A$201,0))))</f>
        <v/>
      </c>
      <c r="G15" s="20" t="str">
        <f>IF($A15="","",IF($N15&lt;&gt;"ACTIVO",0,SUMIFS(Conceptos_Pago!$E$2:$E$100,Conceptos_Pago!$C$2:$C$100,"FIJO",Conceptos_Pago!$D$2:$D$100,"SI")))</f>
        <v/>
      </c>
      <c r="H15" s="20" t="str">
        <f>IF($A15="","",IF($N15&lt;&gt;"ACTIVO",0,SUMIFS(Movimientos!$F$2:$F$500,Movimientos!$A$2:$A$500,$B$2,Movimientos!$B$2:$B$500,$A15,Movimientos!$C$2:$C$500,"PAGO")))</f>
        <v/>
      </c>
      <c r="I15" s="20" t="str">
        <f t="shared" si="0"/>
        <v/>
      </c>
      <c r="J15" s="20" t="str">
        <f>IF($A15="","",IF($N15&lt;&gt;"ACTIVO",0,SUMIFS(Deducciones!$E$2:$E$100,Deducciones!$F$2:$F$100,"SI",Deducciones!$G$2:$G$100,"SI",Deducciones!$C$2:$C$100,"FIJO")+E15*SUMIFS(Deducciones!$E$2:$E$100,Deducciones!$F$2:$F$100,"SI",Deducciones!$G$2:$G$100,"SI",Deducciones!$C$2:$C$100,"PORCENTAJE",Deducciones!$D$2:$D$100,"SUELDO_BASE")+I15*SUMIFS(Deducciones!$E$2:$E$100,Deducciones!$F$2:$F$100,"SI",Deducciones!$G$2:$G$100,"SI",Deducciones!$C$2:$C$100,"PORCENTAJE",Deducciones!$D$2:$D$100,"TOTAL_PERCEPCIONES")))</f>
        <v/>
      </c>
      <c r="K15" s="20" t="str">
        <f>IF($A15="","",IF($N15&lt;&gt;"ACTIVO",0,SUMIFS(Movimientos!$F$2:$F$500,Movimientos!$A$2:$A$500,$B$2,Movimientos!$B$2:$B$500,$A15,Movimientos!$C$2:$C$500,"DEDUCCION")))</f>
        <v/>
      </c>
      <c r="L15" s="20" t="str">
        <f t="shared" si="1"/>
        <v/>
      </c>
      <c r="M15" s="20" t="str">
        <f t="shared" si="2"/>
        <v/>
      </c>
      <c r="N15" s="25" t="str">
        <f>IF($A15="","",INDEX(Empleados!$J$2:$J$201,MATCH($A15,Empleados!$A$2:$A$201,0)))</f>
        <v/>
      </c>
    </row>
    <row r="16" spans="1:14" x14ac:dyDescent="0.45">
      <c r="A16" s="24" t="str">
        <f>IF(ROW()-4&lt;=COUNTA(Empleados!$A$2:$A$201),INDEX(Empleados!$A$2:$A$201,ROW()-4),"")</f>
        <v/>
      </c>
      <c r="B16" s="25" t="str">
        <f>IF($A16="","",INDEX(Empleados!$E$2:$E$201,MATCH($A16,Empleados!$A$2:$A$201,0)))</f>
        <v/>
      </c>
      <c r="C16" s="25" t="str">
        <f>IF($A16="","",INDEX(Empleados!$O$2:$O$201,MATCH($A16,Empleados!$A$2:$A$201,0)))</f>
        <v/>
      </c>
      <c r="D16" s="25" t="str">
        <f>IF($A16="","",INDEX(Empleados!$P$2:$P$201,MATCH($A16,Empleados!$A$2:$A$201,0)))</f>
        <v/>
      </c>
      <c r="E16" s="20" t="str">
        <f>IF($A16="","",IF($N16&lt;&gt;"ACTIVO",0,INDEX(Empleados!$M$2:$M$201,MATCH($A16,Empleados!$A$2:$A$201,0))))</f>
        <v/>
      </c>
      <c r="F16" s="20" t="str">
        <f>IF($A16="","",IF($N16&lt;&gt;"ACTIVO",0,INDEX(Empleados!$N$2:$N$201,MATCH($A16,Empleados!$A$2:$A$201,0))))</f>
        <v/>
      </c>
      <c r="G16" s="20" t="str">
        <f>IF($A16="","",IF($N16&lt;&gt;"ACTIVO",0,SUMIFS(Conceptos_Pago!$E$2:$E$100,Conceptos_Pago!$C$2:$C$100,"FIJO",Conceptos_Pago!$D$2:$D$100,"SI")))</f>
        <v/>
      </c>
      <c r="H16" s="20" t="str">
        <f>IF($A16="","",IF($N16&lt;&gt;"ACTIVO",0,SUMIFS(Movimientos!$F$2:$F$500,Movimientos!$A$2:$A$500,$B$2,Movimientos!$B$2:$B$500,$A16,Movimientos!$C$2:$C$500,"PAGO")))</f>
        <v/>
      </c>
      <c r="I16" s="20" t="str">
        <f t="shared" si="0"/>
        <v/>
      </c>
      <c r="J16" s="20" t="str">
        <f>IF($A16="","",IF($N16&lt;&gt;"ACTIVO",0,SUMIFS(Deducciones!$E$2:$E$100,Deducciones!$F$2:$F$100,"SI",Deducciones!$G$2:$G$100,"SI",Deducciones!$C$2:$C$100,"FIJO")+E16*SUMIFS(Deducciones!$E$2:$E$100,Deducciones!$F$2:$F$100,"SI",Deducciones!$G$2:$G$100,"SI",Deducciones!$C$2:$C$100,"PORCENTAJE",Deducciones!$D$2:$D$100,"SUELDO_BASE")+I16*SUMIFS(Deducciones!$E$2:$E$100,Deducciones!$F$2:$F$100,"SI",Deducciones!$G$2:$G$100,"SI",Deducciones!$C$2:$C$100,"PORCENTAJE",Deducciones!$D$2:$D$100,"TOTAL_PERCEPCIONES")))</f>
        <v/>
      </c>
      <c r="K16" s="20" t="str">
        <f>IF($A16="","",IF($N16&lt;&gt;"ACTIVO",0,SUMIFS(Movimientos!$F$2:$F$500,Movimientos!$A$2:$A$500,$B$2,Movimientos!$B$2:$B$500,$A16,Movimientos!$C$2:$C$500,"DEDUCCION")))</f>
        <v/>
      </c>
      <c r="L16" s="20" t="str">
        <f t="shared" si="1"/>
        <v/>
      </c>
      <c r="M16" s="20" t="str">
        <f t="shared" si="2"/>
        <v/>
      </c>
      <c r="N16" s="25" t="str">
        <f>IF($A16="","",INDEX(Empleados!$J$2:$J$201,MATCH($A16,Empleados!$A$2:$A$201,0)))</f>
        <v/>
      </c>
    </row>
    <row r="17" spans="1:14" x14ac:dyDescent="0.45">
      <c r="A17" s="24" t="str">
        <f>IF(ROW()-4&lt;=COUNTA(Empleados!$A$2:$A$201),INDEX(Empleados!$A$2:$A$201,ROW()-4),"")</f>
        <v/>
      </c>
      <c r="B17" s="25" t="str">
        <f>IF($A17="","",INDEX(Empleados!$E$2:$E$201,MATCH($A17,Empleados!$A$2:$A$201,0)))</f>
        <v/>
      </c>
      <c r="C17" s="25" t="str">
        <f>IF($A17="","",INDEX(Empleados!$O$2:$O$201,MATCH($A17,Empleados!$A$2:$A$201,0)))</f>
        <v/>
      </c>
      <c r="D17" s="25" t="str">
        <f>IF($A17="","",INDEX(Empleados!$P$2:$P$201,MATCH($A17,Empleados!$A$2:$A$201,0)))</f>
        <v/>
      </c>
      <c r="E17" s="20" t="str">
        <f>IF($A17="","",IF($N17&lt;&gt;"ACTIVO",0,INDEX(Empleados!$M$2:$M$201,MATCH($A17,Empleados!$A$2:$A$201,0))))</f>
        <v/>
      </c>
      <c r="F17" s="20" t="str">
        <f>IF($A17="","",IF($N17&lt;&gt;"ACTIVO",0,INDEX(Empleados!$N$2:$N$201,MATCH($A17,Empleados!$A$2:$A$201,0))))</f>
        <v/>
      </c>
      <c r="G17" s="20" t="str">
        <f>IF($A17="","",IF($N17&lt;&gt;"ACTIVO",0,SUMIFS(Conceptos_Pago!$E$2:$E$100,Conceptos_Pago!$C$2:$C$100,"FIJO",Conceptos_Pago!$D$2:$D$100,"SI")))</f>
        <v/>
      </c>
      <c r="H17" s="20" t="str">
        <f>IF($A17="","",IF($N17&lt;&gt;"ACTIVO",0,SUMIFS(Movimientos!$F$2:$F$500,Movimientos!$A$2:$A$500,$B$2,Movimientos!$B$2:$B$500,$A17,Movimientos!$C$2:$C$500,"PAGO")))</f>
        <v/>
      </c>
      <c r="I17" s="20" t="str">
        <f t="shared" si="0"/>
        <v/>
      </c>
      <c r="J17" s="20" t="str">
        <f>IF($A17="","",IF($N17&lt;&gt;"ACTIVO",0,SUMIFS(Deducciones!$E$2:$E$100,Deducciones!$F$2:$F$100,"SI",Deducciones!$G$2:$G$100,"SI",Deducciones!$C$2:$C$100,"FIJO")+E17*SUMIFS(Deducciones!$E$2:$E$100,Deducciones!$F$2:$F$100,"SI",Deducciones!$G$2:$G$100,"SI",Deducciones!$C$2:$C$100,"PORCENTAJE",Deducciones!$D$2:$D$100,"SUELDO_BASE")+I17*SUMIFS(Deducciones!$E$2:$E$100,Deducciones!$F$2:$F$100,"SI",Deducciones!$G$2:$G$100,"SI",Deducciones!$C$2:$C$100,"PORCENTAJE",Deducciones!$D$2:$D$100,"TOTAL_PERCEPCIONES")))</f>
        <v/>
      </c>
      <c r="K17" s="20" t="str">
        <f>IF($A17="","",IF($N17&lt;&gt;"ACTIVO",0,SUMIFS(Movimientos!$F$2:$F$500,Movimientos!$A$2:$A$500,$B$2,Movimientos!$B$2:$B$500,$A17,Movimientos!$C$2:$C$500,"DEDUCCION")))</f>
        <v/>
      </c>
      <c r="L17" s="20" t="str">
        <f t="shared" si="1"/>
        <v/>
      </c>
      <c r="M17" s="20" t="str">
        <f t="shared" si="2"/>
        <v/>
      </c>
      <c r="N17" s="25" t="str">
        <f>IF($A17="","",INDEX(Empleados!$J$2:$J$201,MATCH($A17,Empleados!$A$2:$A$201,0)))</f>
        <v/>
      </c>
    </row>
    <row r="18" spans="1:14" x14ac:dyDescent="0.45">
      <c r="A18" s="24" t="str">
        <f>IF(ROW()-4&lt;=COUNTA(Empleados!$A$2:$A$201),INDEX(Empleados!$A$2:$A$201,ROW()-4),"")</f>
        <v/>
      </c>
      <c r="B18" s="25" t="str">
        <f>IF($A18="","",INDEX(Empleados!$E$2:$E$201,MATCH($A18,Empleados!$A$2:$A$201,0)))</f>
        <v/>
      </c>
      <c r="C18" s="25" t="str">
        <f>IF($A18="","",INDEX(Empleados!$O$2:$O$201,MATCH($A18,Empleados!$A$2:$A$201,0)))</f>
        <v/>
      </c>
      <c r="D18" s="25" t="str">
        <f>IF($A18="","",INDEX(Empleados!$P$2:$P$201,MATCH($A18,Empleados!$A$2:$A$201,0)))</f>
        <v/>
      </c>
      <c r="E18" s="20" t="str">
        <f>IF($A18="","",IF($N18&lt;&gt;"ACTIVO",0,INDEX(Empleados!$M$2:$M$201,MATCH($A18,Empleados!$A$2:$A$201,0))))</f>
        <v/>
      </c>
      <c r="F18" s="20" t="str">
        <f>IF($A18="","",IF($N18&lt;&gt;"ACTIVO",0,INDEX(Empleados!$N$2:$N$201,MATCH($A18,Empleados!$A$2:$A$201,0))))</f>
        <v/>
      </c>
      <c r="G18" s="20" t="str">
        <f>IF($A18="","",IF($N18&lt;&gt;"ACTIVO",0,SUMIFS(Conceptos_Pago!$E$2:$E$100,Conceptos_Pago!$C$2:$C$100,"FIJO",Conceptos_Pago!$D$2:$D$100,"SI")))</f>
        <v/>
      </c>
      <c r="H18" s="20" t="str">
        <f>IF($A18="","",IF($N18&lt;&gt;"ACTIVO",0,SUMIFS(Movimientos!$F$2:$F$500,Movimientos!$A$2:$A$500,$B$2,Movimientos!$B$2:$B$500,$A18,Movimientos!$C$2:$C$500,"PAGO")))</f>
        <v/>
      </c>
      <c r="I18" s="20" t="str">
        <f t="shared" si="0"/>
        <v/>
      </c>
      <c r="J18" s="20" t="str">
        <f>IF($A18="","",IF($N18&lt;&gt;"ACTIVO",0,SUMIFS(Deducciones!$E$2:$E$100,Deducciones!$F$2:$F$100,"SI",Deducciones!$G$2:$G$100,"SI",Deducciones!$C$2:$C$100,"FIJO")+E18*SUMIFS(Deducciones!$E$2:$E$100,Deducciones!$F$2:$F$100,"SI",Deducciones!$G$2:$G$100,"SI",Deducciones!$C$2:$C$100,"PORCENTAJE",Deducciones!$D$2:$D$100,"SUELDO_BASE")+I18*SUMIFS(Deducciones!$E$2:$E$100,Deducciones!$F$2:$F$100,"SI",Deducciones!$G$2:$G$100,"SI",Deducciones!$C$2:$C$100,"PORCENTAJE",Deducciones!$D$2:$D$100,"TOTAL_PERCEPCIONES")))</f>
        <v/>
      </c>
      <c r="K18" s="20" t="str">
        <f>IF($A18="","",IF($N18&lt;&gt;"ACTIVO",0,SUMIFS(Movimientos!$F$2:$F$500,Movimientos!$A$2:$A$500,$B$2,Movimientos!$B$2:$B$500,$A18,Movimientos!$C$2:$C$500,"DEDUCCION")))</f>
        <v/>
      </c>
      <c r="L18" s="20" t="str">
        <f t="shared" si="1"/>
        <v/>
      </c>
      <c r="M18" s="20" t="str">
        <f t="shared" si="2"/>
        <v/>
      </c>
      <c r="N18" s="25" t="str">
        <f>IF($A18="","",INDEX(Empleados!$J$2:$J$201,MATCH($A18,Empleados!$A$2:$A$201,0)))</f>
        <v/>
      </c>
    </row>
    <row r="19" spans="1:14" x14ac:dyDescent="0.45">
      <c r="A19" s="24" t="str">
        <f>IF(ROW()-4&lt;=COUNTA(Empleados!$A$2:$A$201),INDEX(Empleados!$A$2:$A$201,ROW()-4),"")</f>
        <v/>
      </c>
      <c r="B19" s="25" t="str">
        <f>IF($A19="","",INDEX(Empleados!$E$2:$E$201,MATCH($A19,Empleados!$A$2:$A$201,0)))</f>
        <v/>
      </c>
      <c r="C19" s="25" t="str">
        <f>IF($A19="","",INDEX(Empleados!$O$2:$O$201,MATCH($A19,Empleados!$A$2:$A$201,0)))</f>
        <v/>
      </c>
      <c r="D19" s="25" t="str">
        <f>IF($A19="","",INDEX(Empleados!$P$2:$P$201,MATCH($A19,Empleados!$A$2:$A$201,0)))</f>
        <v/>
      </c>
      <c r="E19" s="20" t="str">
        <f>IF($A19="","",IF($N19&lt;&gt;"ACTIVO",0,INDEX(Empleados!$M$2:$M$201,MATCH($A19,Empleados!$A$2:$A$201,0))))</f>
        <v/>
      </c>
      <c r="F19" s="20" t="str">
        <f>IF($A19="","",IF($N19&lt;&gt;"ACTIVO",0,INDEX(Empleados!$N$2:$N$201,MATCH($A19,Empleados!$A$2:$A$201,0))))</f>
        <v/>
      </c>
      <c r="G19" s="20" t="str">
        <f>IF($A19="","",IF($N19&lt;&gt;"ACTIVO",0,SUMIFS(Conceptos_Pago!$E$2:$E$100,Conceptos_Pago!$C$2:$C$100,"FIJO",Conceptos_Pago!$D$2:$D$100,"SI")))</f>
        <v/>
      </c>
      <c r="H19" s="20" t="str">
        <f>IF($A19="","",IF($N19&lt;&gt;"ACTIVO",0,SUMIFS(Movimientos!$F$2:$F$500,Movimientos!$A$2:$A$500,$B$2,Movimientos!$B$2:$B$500,$A19,Movimientos!$C$2:$C$500,"PAGO")))</f>
        <v/>
      </c>
      <c r="I19" s="20" t="str">
        <f t="shared" si="0"/>
        <v/>
      </c>
      <c r="J19" s="20" t="str">
        <f>IF($A19="","",IF($N19&lt;&gt;"ACTIVO",0,SUMIFS(Deducciones!$E$2:$E$100,Deducciones!$F$2:$F$100,"SI",Deducciones!$G$2:$G$100,"SI",Deducciones!$C$2:$C$100,"FIJO")+E19*SUMIFS(Deducciones!$E$2:$E$100,Deducciones!$F$2:$F$100,"SI",Deducciones!$G$2:$G$100,"SI",Deducciones!$C$2:$C$100,"PORCENTAJE",Deducciones!$D$2:$D$100,"SUELDO_BASE")+I19*SUMIFS(Deducciones!$E$2:$E$100,Deducciones!$F$2:$F$100,"SI",Deducciones!$G$2:$G$100,"SI",Deducciones!$C$2:$C$100,"PORCENTAJE",Deducciones!$D$2:$D$100,"TOTAL_PERCEPCIONES")))</f>
        <v/>
      </c>
      <c r="K19" s="20" t="str">
        <f>IF($A19="","",IF($N19&lt;&gt;"ACTIVO",0,SUMIFS(Movimientos!$F$2:$F$500,Movimientos!$A$2:$A$500,$B$2,Movimientos!$B$2:$B$500,$A19,Movimientos!$C$2:$C$500,"DEDUCCION")))</f>
        <v/>
      </c>
      <c r="L19" s="20" t="str">
        <f t="shared" si="1"/>
        <v/>
      </c>
      <c r="M19" s="20" t="str">
        <f t="shared" si="2"/>
        <v/>
      </c>
      <c r="N19" s="25" t="str">
        <f>IF($A19="","",INDEX(Empleados!$J$2:$J$201,MATCH($A19,Empleados!$A$2:$A$201,0)))</f>
        <v/>
      </c>
    </row>
    <row r="20" spans="1:14" x14ac:dyDescent="0.45">
      <c r="A20" s="24" t="str">
        <f>IF(ROW()-4&lt;=COUNTA(Empleados!$A$2:$A$201),INDEX(Empleados!$A$2:$A$201,ROW()-4),"")</f>
        <v/>
      </c>
      <c r="B20" s="25" t="str">
        <f>IF($A20="","",INDEX(Empleados!$E$2:$E$201,MATCH($A20,Empleados!$A$2:$A$201,0)))</f>
        <v/>
      </c>
      <c r="C20" s="25" t="str">
        <f>IF($A20="","",INDEX(Empleados!$O$2:$O$201,MATCH($A20,Empleados!$A$2:$A$201,0)))</f>
        <v/>
      </c>
      <c r="D20" s="25" t="str">
        <f>IF($A20="","",INDEX(Empleados!$P$2:$P$201,MATCH($A20,Empleados!$A$2:$A$201,0)))</f>
        <v/>
      </c>
      <c r="E20" s="20" t="str">
        <f>IF($A20="","",IF($N20&lt;&gt;"ACTIVO",0,INDEX(Empleados!$M$2:$M$201,MATCH($A20,Empleados!$A$2:$A$201,0))))</f>
        <v/>
      </c>
      <c r="F20" s="20" t="str">
        <f>IF($A20="","",IF($N20&lt;&gt;"ACTIVO",0,INDEX(Empleados!$N$2:$N$201,MATCH($A20,Empleados!$A$2:$A$201,0))))</f>
        <v/>
      </c>
      <c r="G20" s="20" t="str">
        <f>IF($A20="","",IF($N20&lt;&gt;"ACTIVO",0,SUMIFS(Conceptos_Pago!$E$2:$E$100,Conceptos_Pago!$C$2:$C$100,"FIJO",Conceptos_Pago!$D$2:$D$100,"SI")))</f>
        <v/>
      </c>
      <c r="H20" s="20" t="str">
        <f>IF($A20="","",IF($N20&lt;&gt;"ACTIVO",0,SUMIFS(Movimientos!$F$2:$F$500,Movimientos!$A$2:$A$500,$B$2,Movimientos!$B$2:$B$500,$A20,Movimientos!$C$2:$C$500,"PAGO")))</f>
        <v/>
      </c>
      <c r="I20" s="20" t="str">
        <f t="shared" si="0"/>
        <v/>
      </c>
      <c r="J20" s="20" t="str">
        <f>IF($A20="","",IF($N20&lt;&gt;"ACTIVO",0,SUMIFS(Deducciones!$E$2:$E$100,Deducciones!$F$2:$F$100,"SI",Deducciones!$G$2:$G$100,"SI",Deducciones!$C$2:$C$100,"FIJO")+E20*SUMIFS(Deducciones!$E$2:$E$100,Deducciones!$F$2:$F$100,"SI",Deducciones!$G$2:$G$100,"SI",Deducciones!$C$2:$C$100,"PORCENTAJE",Deducciones!$D$2:$D$100,"SUELDO_BASE")+I20*SUMIFS(Deducciones!$E$2:$E$100,Deducciones!$F$2:$F$100,"SI",Deducciones!$G$2:$G$100,"SI",Deducciones!$C$2:$C$100,"PORCENTAJE",Deducciones!$D$2:$D$100,"TOTAL_PERCEPCIONES")))</f>
        <v/>
      </c>
      <c r="K20" s="20" t="str">
        <f>IF($A20="","",IF($N20&lt;&gt;"ACTIVO",0,SUMIFS(Movimientos!$F$2:$F$500,Movimientos!$A$2:$A$500,$B$2,Movimientos!$B$2:$B$500,$A20,Movimientos!$C$2:$C$500,"DEDUCCION")))</f>
        <v/>
      </c>
      <c r="L20" s="20" t="str">
        <f t="shared" si="1"/>
        <v/>
      </c>
      <c r="M20" s="20" t="str">
        <f t="shared" si="2"/>
        <v/>
      </c>
      <c r="N20" s="25" t="str">
        <f>IF($A20="","",INDEX(Empleados!$J$2:$J$201,MATCH($A20,Empleados!$A$2:$A$201,0)))</f>
        <v/>
      </c>
    </row>
    <row r="21" spans="1:14" x14ac:dyDescent="0.45">
      <c r="A21" s="24" t="str">
        <f>IF(ROW()-4&lt;=COUNTA(Empleados!$A$2:$A$201),INDEX(Empleados!$A$2:$A$201,ROW()-4),"")</f>
        <v/>
      </c>
      <c r="B21" s="25" t="str">
        <f>IF($A21="","",INDEX(Empleados!$E$2:$E$201,MATCH($A21,Empleados!$A$2:$A$201,0)))</f>
        <v/>
      </c>
      <c r="C21" s="25" t="str">
        <f>IF($A21="","",INDEX(Empleados!$O$2:$O$201,MATCH($A21,Empleados!$A$2:$A$201,0)))</f>
        <v/>
      </c>
      <c r="D21" s="25" t="str">
        <f>IF($A21="","",INDEX(Empleados!$P$2:$P$201,MATCH($A21,Empleados!$A$2:$A$201,0)))</f>
        <v/>
      </c>
      <c r="E21" s="20" t="str">
        <f>IF($A21="","",IF($N21&lt;&gt;"ACTIVO",0,INDEX(Empleados!$M$2:$M$201,MATCH($A21,Empleados!$A$2:$A$201,0))))</f>
        <v/>
      </c>
      <c r="F21" s="20" t="str">
        <f>IF($A21="","",IF($N21&lt;&gt;"ACTIVO",0,INDEX(Empleados!$N$2:$N$201,MATCH($A21,Empleados!$A$2:$A$201,0))))</f>
        <v/>
      </c>
      <c r="G21" s="20" t="str">
        <f>IF($A21="","",IF($N21&lt;&gt;"ACTIVO",0,SUMIFS(Conceptos_Pago!$E$2:$E$100,Conceptos_Pago!$C$2:$C$100,"FIJO",Conceptos_Pago!$D$2:$D$100,"SI")))</f>
        <v/>
      </c>
      <c r="H21" s="20" t="str">
        <f>IF($A21="","",IF($N21&lt;&gt;"ACTIVO",0,SUMIFS(Movimientos!$F$2:$F$500,Movimientos!$A$2:$A$500,$B$2,Movimientos!$B$2:$B$500,$A21,Movimientos!$C$2:$C$500,"PAGO")))</f>
        <v/>
      </c>
      <c r="I21" s="20" t="str">
        <f t="shared" si="0"/>
        <v/>
      </c>
      <c r="J21" s="20" t="str">
        <f>IF($A21="","",IF($N21&lt;&gt;"ACTIVO",0,SUMIFS(Deducciones!$E$2:$E$100,Deducciones!$F$2:$F$100,"SI",Deducciones!$G$2:$G$100,"SI",Deducciones!$C$2:$C$100,"FIJO")+E21*SUMIFS(Deducciones!$E$2:$E$100,Deducciones!$F$2:$F$100,"SI",Deducciones!$G$2:$G$100,"SI",Deducciones!$C$2:$C$100,"PORCENTAJE",Deducciones!$D$2:$D$100,"SUELDO_BASE")+I21*SUMIFS(Deducciones!$E$2:$E$100,Deducciones!$F$2:$F$100,"SI",Deducciones!$G$2:$G$100,"SI",Deducciones!$C$2:$C$100,"PORCENTAJE",Deducciones!$D$2:$D$100,"TOTAL_PERCEPCIONES")))</f>
        <v/>
      </c>
      <c r="K21" s="20" t="str">
        <f>IF($A21="","",IF($N21&lt;&gt;"ACTIVO",0,SUMIFS(Movimientos!$F$2:$F$500,Movimientos!$A$2:$A$500,$B$2,Movimientos!$B$2:$B$500,$A21,Movimientos!$C$2:$C$500,"DEDUCCION")))</f>
        <v/>
      </c>
      <c r="L21" s="20" t="str">
        <f t="shared" si="1"/>
        <v/>
      </c>
      <c r="M21" s="20" t="str">
        <f t="shared" si="2"/>
        <v/>
      </c>
      <c r="N21" s="25" t="str">
        <f>IF($A21="","",INDEX(Empleados!$J$2:$J$201,MATCH($A21,Empleados!$A$2:$A$201,0)))</f>
        <v/>
      </c>
    </row>
    <row r="22" spans="1:14" x14ac:dyDescent="0.45">
      <c r="A22" s="24" t="str">
        <f>IF(ROW()-4&lt;=COUNTA(Empleados!$A$2:$A$201),INDEX(Empleados!$A$2:$A$201,ROW()-4),"")</f>
        <v/>
      </c>
      <c r="B22" s="25" t="str">
        <f>IF($A22="","",INDEX(Empleados!$E$2:$E$201,MATCH($A22,Empleados!$A$2:$A$201,0)))</f>
        <v/>
      </c>
      <c r="C22" s="25" t="str">
        <f>IF($A22="","",INDEX(Empleados!$O$2:$O$201,MATCH($A22,Empleados!$A$2:$A$201,0)))</f>
        <v/>
      </c>
      <c r="D22" s="25" t="str">
        <f>IF($A22="","",INDEX(Empleados!$P$2:$P$201,MATCH($A22,Empleados!$A$2:$A$201,0)))</f>
        <v/>
      </c>
      <c r="E22" s="20" t="str">
        <f>IF($A22="","",IF($N22&lt;&gt;"ACTIVO",0,INDEX(Empleados!$M$2:$M$201,MATCH($A22,Empleados!$A$2:$A$201,0))))</f>
        <v/>
      </c>
      <c r="F22" s="20" t="str">
        <f>IF($A22="","",IF($N22&lt;&gt;"ACTIVO",0,INDEX(Empleados!$N$2:$N$201,MATCH($A22,Empleados!$A$2:$A$201,0))))</f>
        <v/>
      </c>
      <c r="G22" s="20" t="str">
        <f>IF($A22="","",IF($N22&lt;&gt;"ACTIVO",0,SUMIFS(Conceptos_Pago!$E$2:$E$100,Conceptos_Pago!$C$2:$C$100,"FIJO",Conceptos_Pago!$D$2:$D$100,"SI")))</f>
        <v/>
      </c>
      <c r="H22" s="20" t="str">
        <f>IF($A22="","",IF($N22&lt;&gt;"ACTIVO",0,SUMIFS(Movimientos!$F$2:$F$500,Movimientos!$A$2:$A$500,$B$2,Movimientos!$B$2:$B$500,$A22,Movimientos!$C$2:$C$500,"PAGO")))</f>
        <v/>
      </c>
      <c r="I22" s="20" t="str">
        <f t="shared" si="0"/>
        <v/>
      </c>
      <c r="J22" s="20" t="str">
        <f>IF($A22="","",IF($N22&lt;&gt;"ACTIVO",0,SUMIFS(Deducciones!$E$2:$E$100,Deducciones!$F$2:$F$100,"SI",Deducciones!$G$2:$G$100,"SI",Deducciones!$C$2:$C$100,"FIJO")+E22*SUMIFS(Deducciones!$E$2:$E$100,Deducciones!$F$2:$F$100,"SI",Deducciones!$G$2:$G$100,"SI",Deducciones!$C$2:$C$100,"PORCENTAJE",Deducciones!$D$2:$D$100,"SUELDO_BASE")+I22*SUMIFS(Deducciones!$E$2:$E$100,Deducciones!$F$2:$F$100,"SI",Deducciones!$G$2:$G$100,"SI",Deducciones!$C$2:$C$100,"PORCENTAJE",Deducciones!$D$2:$D$100,"TOTAL_PERCEPCIONES")))</f>
        <v/>
      </c>
      <c r="K22" s="20" t="str">
        <f>IF($A22="","",IF($N22&lt;&gt;"ACTIVO",0,SUMIFS(Movimientos!$F$2:$F$500,Movimientos!$A$2:$A$500,$B$2,Movimientos!$B$2:$B$500,$A22,Movimientos!$C$2:$C$500,"DEDUCCION")))</f>
        <v/>
      </c>
      <c r="L22" s="20" t="str">
        <f t="shared" si="1"/>
        <v/>
      </c>
      <c r="M22" s="20" t="str">
        <f t="shared" si="2"/>
        <v/>
      </c>
      <c r="N22" s="25" t="str">
        <f>IF($A22="","",INDEX(Empleados!$J$2:$J$201,MATCH($A22,Empleados!$A$2:$A$201,0)))</f>
        <v/>
      </c>
    </row>
    <row r="23" spans="1:14" x14ac:dyDescent="0.45">
      <c r="A23" s="24" t="str">
        <f>IF(ROW()-4&lt;=COUNTA(Empleados!$A$2:$A$201),INDEX(Empleados!$A$2:$A$201,ROW()-4),"")</f>
        <v/>
      </c>
      <c r="B23" s="25" t="str">
        <f>IF($A23="","",INDEX(Empleados!$E$2:$E$201,MATCH($A23,Empleados!$A$2:$A$201,0)))</f>
        <v/>
      </c>
      <c r="C23" s="25" t="str">
        <f>IF($A23="","",INDEX(Empleados!$O$2:$O$201,MATCH($A23,Empleados!$A$2:$A$201,0)))</f>
        <v/>
      </c>
      <c r="D23" s="25" t="str">
        <f>IF($A23="","",INDEX(Empleados!$P$2:$P$201,MATCH($A23,Empleados!$A$2:$A$201,0)))</f>
        <v/>
      </c>
      <c r="E23" s="20" t="str">
        <f>IF($A23="","",IF($N23&lt;&gt;"ACTIVO",0,INDEX(Empleados!$M$2:$M$201,MATCH($A23,Empleados!$A$2:$A$201,0))))</f>
        <v/>
      </c>
      <c r="F23" s="20" t="str">
        <f>IF($A23="","",IF($N23&lt;&gt;"ACTIVO",0,INDEX(Empleados!$N$2:$N$201,MATCH($A23,Empleados!$A$2:$A$201,0))))</f>
        <v/>
      </c>
      <c r="G23" s="20" t="str">
        <f>IF($A23="","",IF($N23&lt;&gt;"ACTIVO",0,SUMIFS(Conceptos_Pago!$E$2:$E$100,Conceptos_Pago!$C$2:$C$100,"FIJO",Conceptos_Pago!$D$2:$D$100,"SI")))</f>
        <v/>
      </c>
      <c r="H23" s="20" t="str">
        <f>IF($A23="","",IF($N23&lt;&gt;"ACTIVO",0,SUMIFS(Movimientos!$F$2:$F$500,Movimientos!$A$2:$A$500,$B$2,Movimientos!$B$2:$B$500,$A23,Movimientos!$C$2:$C$500,"PAGO")))</f>
        <v/>
      </c>
      <c r="I23" s="20" t="str">
        <f t="shared" si="0"/>
        <v/>
      </c>
      <c r="J23" s="20" t="str">
        <f>IF($A23="","",IF($N23&lt;&gt;"ACTIVO",0,SUMIFS(Deducciones!$E$2:$E$100,Deducciones!$F$2:$F$100,"SI",Deducciones!$G$2:$G$100,"SI",Deducciones!$C$2:$C$100,"FIJO")+E23*SUMIFS(Deducciones!$E$2:$E$100,Deducciones!$F$2:$F$100,"SI",Deducciones!$G$2:$G$100,"SI",Deducciones!$C$2:$C$100,"PORCENTAJE",Deducciones!$D$2:$D$100,"SUELDO_BASE")+I23*SUMIFS(Deducciones!$E$2:$E$100,Deducciones!$F$2:$F$100,"SI",Deducciones!$G$2:$G$100,"SI",Deducciones!$C$2:$C$100,"PORCENTAJE",Deducciones!$D$2:$D$100,"TOTAL_PERCEPCIONES")))</f>
        <v/>
      </c>
      <c r="K23" s="20" t="str">
        <f>IF($A23="","",IF($N23&lt;&gt;"ACTIVO",0,SUMIFS(Movimientos!$F$2:$F$500,Movimientos!$A$2:$A$500,$B$2,Movimientos!$B$2:$B$500,$A23,Movimientos!$C$2:$C$500,"DEDUCCION")))</f>
        <v/>
      </c>
      <c r="L23" s="20" t="str">
        <f t="shared" si="1"/>
        <v/>
      </c>
      <c r="M23" s="20" t="str">
        <f t="shared" si="2"/>
        <v/>
      </c>
      <c r="N23" s="25" t="str">
        <f>IF($A23="","",INDEX(Empleados!$J$2:$J$201,MATCH($A23,Empleados!$A$2:$A$201,0)))</f>
        <v/>
      </c>
    </row>
    <row r="24" spans="1:14" x14ac:dyDescent="0.45">
      <c r="A24" s="24" t="str">
        <f>IF(ROW()-4&lt;=COUNTA(Empleados!$A$2:$A$201),INDEX(Empleados!$A$2:$A$201,ROW()-4),"")</f>
        <v/>
      </c>
      <c r="B24" s="25" t="str">
        <f>IF($A24="","",INDEX(Empleados!$E$2:$E$201,MATCH($A24,Empleados!$A$2:$A$201,0)))</f>
        <v/>
      </c>
      <c r="C24" s="25" t="str">
        <f>IF($A24="","",INDEX(Empleados!$O$2:$O$201,MATCH($A24,Empleados!$A$2:$A$201,0)))</f>
        <v/>
      </c>
      <c r="D24" s="25" t="str">
        <f>IF($A24="","",INDEX(Empleados!$P$2:$P$201,MATCH($A24,Empleados!$A$2:$A$201,0)))</f>
        <v/>
      </c>
      <c r="E24" s="20" t="str">
        <f>IF($A24="","",IF($N24&lt;&gt;"ACTIVO",0,INDEX(Empleados!$M$2:$M$201,MATCH($A24,Empleados!$A$2:$A$201,0))))</f>
        <v/>
      </c>
      <c r="F24" s="20" t="str">
        <f>IF($A24="","",IF($N24&lt;&gt;"ACTIVO",0,INDEX(Empleados!$N$2:$N$201,MATCH($A24,Empleados!$A$2:$A$201,0))))</f>
        <v/>
      </c>
      <c r="G24" s="20" t="str">
        <f>IF($A24="","",IF($N24&lt;&gt;"ACTIVO",0,SUMIFS(Conceptos_Pago!$E$2:$E$100,Conceptos_Pago!$C$2:$C$100,"FIJO",Conceptos_Pago!$D$2:$D$100,"SI")))</f>
        <v/>
      </c>
      <c r="H24" s="20" t="str">
        <f>IF($A24="","",IF($N24&lt;&gt;"ACTIVO",0,SUMIFS(Movimientos!$F$2:$F$500,Movimientos!$A$2:$A$500,$B$2,Movimientos!$B$2:$B$500,$A24,Movimientos!$C$2:$C$500,"PAGO")))</f>
        <v/>
      </c>
      <c r="I24" s="20" t="str">
        <f t="shared" si="0"/>
        <v/>
      </c>
      <c r="J24" s="20" t="str">
        <f>IF($A24="","",IF($N24&lt;&gt;"ACTIVO",0,SUMIFS(Deducciones!$E$2:$E$100,Deducciones!$F$2:$F$100,"SI",Deducciones!$G$2:$G$100,"SI",Deducciones!$C$2:$C$100,"FIJO")+E24*SUMIFS(Deducciones!$E$2:$E$100,Deducciones!$F$2:$F$100,"SI",Deducciones!$G$2:$G$100,"SI",Deducciones!$C$2:$C$100,"PORCENTAJE",Deducciones!$D$2:$D$100,"SUELDO_BASE")+I24*SUMIFS(Deducciones!$E$2:$E$100,Deducciones!$F$2:$F$100,"SI",Deducciones!$G$2:$G$100,"SI",Deducciones!$C$2:$C$100,"PORCENTAJE",Deducciones!$D$2:$D$100,"TOTAL_PERCEPCIONES")))</f>
        <v/>
      </c>
      <c r="K24" s="20" t="str">
        <f>IF($A24="","",IF($N24&lt;&gt;"ACTIVO",0,SUMIFS(Movimientos!$F$2:$F$500,Movimientos!$A$2:$A$500,$B$2,Movimientos!$B$2:$B$500,$A24,Movimientos!$C$2:$C$500,"DEDUCCION")))</f>
        <v/>
      </c>
      <c r="L24" s="20" t="str">
        <f t="shared" si="1"/>
        <v/>
      </c>
      <c r="M24" s="20" t="str">
        <f t="shared" si="2"/>
        <v/>
      </c>
      <c r="N24" s="25" t="str">
        <f>IF($A24="","",INDEX(Empleados!$J$2:$J$201,MATCH($A24,Empleados!$A$2:$A$201,0)))</f>
        <v/>
      </c>
    </row>
    <row r="25" spans="1:14" x14ac:dyDescent="0.45">
      <c r="A25" s="24" t="str">
        <f>IF(ROW()-4&lt;=COUNTA(Empleados!$A$2:$A$201),INDEX(Empleados!$A$2:$A$201,ROW()-4),"")</f>
        <v/>
      </c>
      <c r="B25" s="25" t="str">
        <f>IF($A25="","",INDEX(Empleados!$E$2:$E$201,MATCH($A25,Empleados!$A$2:$A$201,0)))</f>
        <v/>
      </c>
      <c r="C25" s="25" t="str">
        <f>IF($A25="","",INDEX(Empleados!$O$2:$O$201,MATCH($A25,Empleados!$A$2:$A$201,0)))</f>
        <v/>
      </c>
      <c r="D25" s="25" t="str">
        <f>IF($A25="","",INDEX(Empleados!$P$2:$P$201,MATCH($A25,Empleados!$A$2:$A$201,0)))</f>
        <v/>
      </c>
      <c r="E25" s="20" t="str">
        <f>IF($A25="","",IF($N25&lt;&gt;"ACTIVO",0,INDEX(Empleados!$M$2:$M$201,MATCH($A25,Empleados!$A$2:$A$201,0))))</f>
        <v/>
      </c>
      <c r="F25" s="20" t="str">
        <f>IF($A25="","",IF($N25&lt;&gt;"ACTIVO",0,INDEX(Empleados!$N$2:$N$201,MATCH($A25,Empleados!$A$2:$A$201,0))))</f>
        <v/>
      </c>
      <c r="G25" s="20" t="str">
        <f>IF($A25="","",IF($N25&lt;&gt;"ACTIVO",0,SUMIFS(Conceptos_Pago!$E$2:$E$100,Conceptos_Pago!$C$2:$C$100,"FIJO",Conceptos_Pago!$D$2:$D$100,"SI")))</f>
        <v/>
      </c>
      <c r="H25" s="20" t="str">
        <f>IF($A25="","",IF($N25&lt;&gt;"ACTIVO",0,SUMIFS(Movimientos!$F$2:$F$500,Movimientos!$A$2:$A$500,$B$2,Movimientos!$B$2:$B$500,$A25,Movimientos!$C$2:$C$500,"PAGO")))</f>
        <v/>
      </c>
      <c r="I25" s="20" t="str">
        <f t="shared" si="0"/>
        <v/>
      </c>
      <c r="J25" s="20" t="str">
        <f>IF($A25="","",IF($N25&lt;&gt;"ACTIVO",0,SUMIFS(Deducciones!$E$2:$E$100,Deducciones!$F$2:$F$100,"SI",Deducciones!$G$2:$G$100,"SI",Deducciones!$C$2:$C$100,"FIJO")+E25*SUMIFS(Deducciones!$E$2:$E$100,Deducciones!$F$2:$F$100,"SI",Deducciones!$G$2:$G$100,"SI",Deducciones!$C$2:$C$100,"PORCENTAJE",Deducciones!$D$2:$D$100,"SUELDO_BASE")+I25*SUMIFS(Deducciones!$E$2:$E$100,Deducciones!$F$2:$F$100,"SI",Deducciones!$G$2:$G$100,"SI",Deducciones!$C$2:$C$100,"PORCENTAJE",Deducciones!$D$2:$D$100,"TOTAL_PERCEPCIONES")))</f>
        <v/>
      </c>
      <c r="K25" s="20" t="str">
        <f>IF($A25="","",IF($N25&lt;&gt;"ACTIVO",0,SUMIFS(Movimientos!$F$2:$F$500,Movimientos!$A$2:$A$500,$B$2,Movimientos!$B$2:$B$500,$A25,Movimientos!$C$2:$C$500,"DEDUCCION")))</f>
        <v/>
      </c>
      <c r="L25" s="20" t="str">
        <f t="shared" si="1"/>
        <v/>
      </c>
      <c r="M25" s="20" t="str">
        <f t="shared" si="2"/>
        <v/>
      </c>
      <c r="N25" s="25" t="str">
        <f>IF($A25="","",INDEX(Empleados!$J$2:$J$201,MATCH($A25,Empleados!$A$2:$A$201,0)))</f>
        <v/>
      </c>
    </row>
    <row r="26" spans="1:14" x14ac:dyDescent="0.45">
      <c r="A26" s="24" t="str">
        <f>IF(ROW()-4&lt;=COUNTA(Empleados!$A$2:$A$201),INDEX(Empleados!$A$2:$A$201,ROW()-4),"")</f>
        <v/>
      </c>
      <c r="B26" s="25" t="str">
        <f>IF($A26="","",INDEX(Empleados!$E$2:$E$201,MATCH($A26,Empleados!$A$2:$A$201,0)))</f>
        <v/>
      </c>
      <c r="C26" s="25" t="str">
        <f>IF($A26="","",INDEX(Empleados!$O$2:$O$201,MATCH($A26,Empleados!$A$2:$A$201,0)))</f>
        <v/>
      </c>
      <c r="D26" s="25" t="str">
        <f>IF($A26="","",INDEX(Empleados!$P$2:$P$201,MATCH($A26,Empleados!$A$2:$A$201,0)))</f>
        <v/>
      </c>
      <c r="E26" s="20" t="str">
        <f>IF($A26="","",IF($N26&lt;&gt;"ACTIVO",0,INDEX(Empleados!$M$2:$M$201,MATCH($A26,Empleados!$A$2:$A$201,0))))</f>
        <v/>
      </c>
      <c r="F26" s="20" t="str">
        <f>IF($A26="","",IF($N26&lt;&gt;"ACTIVO",0,INDEX(Empleados!$N$2:$N$201,MATCH($A26,Empleados!$A$2:$A$201,0))))</f>
        <v/>
      </c>
      <c r="G26" s="20" t="str">
        <f>IF($A26="","",IF($N26&lt;&gt;"ACTIVO",0,SUMIFS(Conceptos_Pago!$E$2:$E$100,Conceptos_Pago!$C$2:$C$100,"FIJO",Conceptos_Pago!$D$2:$D$100,"SI")))</f>
        <v/>
      </c>
      <c r="H26" s="20" t="str">
        <f>IF($A26="","",IF($N26&lt;&gt;"ACTIVO",0,SUMIFS(Movimientos!$F$2:$F$500,Movimientos!$A$2:$A$500,$B$2,Movimientos!$B$2:$B$500,$A26,Movimientos!$C$2:$C$500,"PAGO")))</f>
        <v/>
      </c>
      <c r="I26" s="20" t="str">
        <f t="shared" si="0"/>
        <v/>
      </c>
      <c r="J26" s="20" t="str">
        <f>IF($A26="","",IF($N26&lt;&gt;"ACTIVO",0,SUMIFS(Deducciones!$E$2:$E$100,Deducciones!$F$2:$F$100,"SI",Deducciones!$G$2:$G$100,"SI",Deducciones!$C$2:$C$100,"FIJO")+E26*SUMIFS(Deducciones!$E$2:$E$100,Deducciones!$F$2:$F$100,"SI",Deducciones!$G$2:$G$100,"SI",Deducciones!$C$2:$C$100,"PORCENTAJE",Deducciones!$D$2:$D$100,"SUELDO_BASE")+I26*SUMIFS(Deducciones!$E$2:$E$100,Deducciones!$F$2:$F$100,"SI",Deducciones!$G$2:$G$100,"SI",Deducciones!$C$2:$C$100,"PORCENTAJE",Deducciones!$D$2:$D$100,"TOTAL_PERCEPCIONES")))</f>
        <v/>
      </c>
      <c r="K26" s="20" t="str">
        <f>IF($A26="","",IF($N26&lt;&gt;"ACTIVO",0,SUMIFS(Movimientos!$F$2:$F$500,Movimientos!$A$2:$A$500,$B$2,Movimientos!$B$2:$B$500,$A26,Movimientos!$C$2:$C$500,"DEDUCCION")))</f>
        <v/>
      </c>
      <c r="L26" s="20" t="str">
        <f t="shared" si="1"/>
        <v/>
      </c>
      <c r="M26" s="20" t="str">
        <f t="shared" si="2"/>
        <v/>
      </c>
      <c r="N26" s="25" t="str">
        <f>IF($A26="","",INDEX(Empleados!$J$2:$J$201,MATCH($A26,Empleados!$A$2:$A$201,0)))</f>
        <v/>
      </c>
    </row>
    <row r="27" spans="1:14" x14ac:dyDescent="0.45">
      <c r="A27" s="24" t="str">
        <f>IF(ROW()-4&lt;=COUNTA(Empleados!$A$2:$A$201),INDEX(Empleados!$A$2:$A$201,ROW()-4),"")</f>
        <v/>
      </c>
      <c r="B27" s="25" t="str">
        <f>IF($A27="","",INDEX(Empleados!$E$2:$E$201,MATCH($A27,Empleados!$A$2:$A$201,0)))</f>
        <v/>
      </c>
      <c r="C27" s="25" t="str">
        <f>IF($A27="","",INDEX(Empleados!$O$2:$O$201,MATCH($A27,Empleados!$A$2:$A$201,0)))</f>
        <v/>
      </c>
      <c r="D27" s="25" t="str">
        <f>IF($A27="","",INDEX(Empleados!$P$2:$P$201,MATCH($A27,Empleados!$A$2:$A$201,0)))</f>
        <v/>
      </c>
      <c r="E27" s="20" t="str">
        <f>IF($A27="","",IF($N27&lt;&gt;"ACTIVO",0,INDEX(Empleados!$M$2:$M$201,MATCH($A27,Empleados!$A$2:$A$201,0))))</f>
        <v/>
      </c>
      <c r="F27" s="20" t="str">
        <f>IF($A27="","",IF($N27&lt;&gt;"ACTIVO",0,INDEX(Empleados!$N$2:$N$201,MATCH($A27,Empleados!$A$2:$A$201,0))))</f>
        <v/>
      </c>
      <c r="G27" s="20" t="str">
        <f>IF($A27="","",IF($N27&lt;&gt;"ACTIVO",0,SUMIFS(Conceptos_Pago!$E$2:$E$100,Conceptos_Pago!$C$2:$C$100,"FIJO",Conceptos_Pago!$D$2:$D$100,"SI")))</f>
        <v/>
      </c>
      <c r="H27" s="20" t="str">
        <f>IF($A27="","",IF($N27&lt;&gt;"ACTIVO",0,SUMIFS(Movimientos!$F$2:$F$500,Movimientos!$A$2:$A$500,$B$2,Movimientos!$B$2:$B$500,$A27,Movimientos!$C$2:$C$500,"PAGO")))</f>
        <v/>
      </c>
      <c r="I27" s="20" t="str">
        <f t="shared" si="0"/>
        <v/>
      </c>
      <c r="J27" s="20" t="str">
        <f>IF($A27="","",IF($N27&lt;&gt;"ACTIVO",0,SUMIFS(Deducciones!$E$2:$E$100,Deducciones!$F$2:$F$100,"SI",Deducciones!$G$2:$G$100,"SI",Deducciones!$C$2:$C$100,"FIJO")+E27*SUMIFS(Deducciones!$E$2:$E$100,Deducciones!$F$2:$F$100,"SI",Deducciones!$G$2:$G$100,"SI",Deducciones!$C$2:$C$100,"PORCENTAJE",Deducciones!$D$2:$D$100,"SUELDO_BASE")+I27*SUMIFS(Deducciones!$E$2:$E$100,Deducciones!$F$2:$F$100,"SI",Deducciones!$G$2:$G$100,"SI",Deducciones!$C$2:$C$100,"PORCENTAJE",Deducciones!$D$2:$D$100,"TOTAL_PERCEPCIONES")))</f>
        <v/>
      </c>
      <c r="K27" s="20" t="str">
        <f>IF($A27="","",IF($N27&lt;&gt;"ACTIVO",0,SUMIFS(Movimientos!$F$2:$F$500,Movimientos!$A$2:$A$500,$B$2,Movimientos!$B$2:$B$500,$A27,Movimientos!$C$2:$C$500,"DEDUCCION")))</f>
        <v/>
      </c>
      <c r="L27" s="20" t="str">
        <f t="shared" si="1"/>
        <v/>
      </c>
      <c r="M27" s="20" t="str">
        <f t="shared" si="2"/>
        <v/>
      </c>
      <c r="N27" s="25" t="str">
        <f>IF($A27="","",INDEX(Empleados!$J$2:$J$201,MATCH($A27,Empleados!$A$2:$A$201,0)))</f>
        <v/>
      </c>
    </row>
    <row r="28" spans="1:14" x14ac:dyDescent="0.45">
      <c r="A28" s="24" t="str">
        <f>IF(ROW()-4&lt;=COUNTA(Empleados!$A$2:$A$201),INDEX(Empleados!$A$2:$A$201,ROW()-4),"")</f>
        <v/>
      </c>
      <c r="B28" s="25" t="str">
        <f>IF($A28="","",INDEX(Empleados!$E$2:$E$201,MATCH($A28,Empleados!$A$2:$A$201,0)))</f>
        <v/>
      </c>
      <c r="C28" s="25" t="str">
        <f>IF($A28="","",INDEX(Empleados!$O$2:$O$201,MATCH($A28,Empleados!$A$2:$A$201,0)))</f>
        <v/>
      </c>
      <c r="D28" s="25" t="str">
        <f>IF($A28="","",INDEX(Empleados!$P$2:$P$201,MATCH($A28,Empleados!$A$2:$A$201,0)))</f>
        <v/>
      </c>
      <c r="E28" s="20" t="str">
        <f>IF($A28="","",IF($N28&lt;&gt;"ACTIVO",0,INDEX(Empleados!$M$2:$M$201,MATCH($A28,Empleados!$A$2:$A$201,0))))</f>
        <v/>
      </c>
      <c r="F28" s="20" t="str">
        <f>IF($A28="","",IF($N28&lt;&gt;"ACTIVO",0,INDEX(Empleados!$N$2:$N$201,MATCH($A28,Empleados!$A$2:$A$201,0))))</f>
        <v/>
      </c>
      <c r="G28" s="20" t="str">
        <f>IF($A28="","",IF($N28&lt;&gt;"ACTIVO",0,SUMIFS(Conceptos_Pago!$E$2:$E$100,Conceptos_Pago!$C$2:$C$100,"FIJO",Conceptos_Pago!$D$2:$D$100,"SI")))</f>
        <v/>
      </c>
      <c r="H28" s="20" t="str">
        <f>IF($A28="","",IF($N28&lt;&gt;"ACTIVO",0,SUMIFS(Movimientos!$F$2:$F$500,Movimientos!$A$2:$A$500,$B$2,Movimientos!$B$2:$B$500,$A28,Movimientos!$C$2:$C$500,"PAGO")))</f>
        <v/>
      </c>
      <c r="I28" s="20" t="str">
        <f t="shared" si="0"/>
        <v/>
      </c>
      <c r="J28" s="20" t="str">
        <f>IF($A28="","",IF($N28&lt;&gt;"ACTIVO",0,SUMIFS(Deducciones!$E$2:$E$100,Deducciones!$F$2:$F$100,"SI",Deducciones!$G$2:$G$100,"SI",Deducciones!$C$2:$C$100,"FIJO")+E28*SUMIFS(Deducciones!$E$2:$E$100,Deducciones!$F$2:$F$100,"SI",Deducciones!$G$2:$G$100,"SI",Deducciones!$C$2:$C$100,"PORCENTAJE",Deducciones!$D$2:$D$100,"SUELDO_BASE")+I28*SUMIFS(Deducciones!$E$2:$E$100,Deducciones!$F$2:$F$100,"SI",Deducciones!$G$2:$G$100,"SI",Deducciones!$C$2:$C$100,"PORCENTAJE",Deducciones!$D$2:$D$100,"TOTAL_PERCEPCIONES")))</f>
        <v/>
      </c>
      <c r="K28" s="20" t="str">
        <f>IF($A28="","",IF($N28&lt;&gt;"ACTIVO",0,SUMIFS(Movimientos!$F$2:$F$500,Movimientos!$A$2:$A$500,$B$2,Movimientos!$B$2:$B$500,$A28,Movimientos!$C$2:$C$500,"DEDUCCION")))</f>
        <v/>
      </c>
      <c r="L28" s="20" t="str">
        <f t="shared" si="1"/>
        <v/>
      </c>
      <c r="M28" s="20" t="str">
        <f t="shared" si="2"/>
        <v/>
      </c>
      <c r="N28" s="25" t="str">
        <f>IF($A28="","",INDEX(Empleados!$J$2:$J$201,MATCH($A28,Empleados!$A$2:$A$201,0)))</f>
        <v/>
      </c>
    </row>
    <row r="29" spans="1:14" x14ac:dyDescent="0.45">
      <c r="A29" s="24" t="str">
        <f>IF(ROW()-4&lt;=COUNTA(Empleados!$A$2:$A$201),INDEX(Empleados!$A$2:$A$201,ROW()-4),"")</f>
        <v/>
      </c>
      <c r="B29" s="25" t="str">
        <f>IF($A29="","",INDEX(Empleados!$E$2:$E$201,MATCH($A29,Empleados!$A$2:$A$201,0)))</f>
        <v/>
      </c>
      <c r="C29" s="25" t="str">
        <f>IF($A29="","",INDEX(Empleados!$O$2:$O$201,MATCH($A29,Empleados!$A$2:$A$201,0)))</f>
        <v/>
      </c>
      <c r="D29" s="25" t="str">
        <f>IF($A29="","",INDEX(Empleados!$P$2:$P$201,MATCH($A29,Empleados!$A$2:$A$201,0)))</f>
        <v/>
      </c>
      <c r="E29" s="20" t="str">
        <f>IF($A29="","",IF($N29&lt;&gt;"ACTIVO",0,INDEX(Empleados!$M$2:$M$201,MATCH($A29,Empleados!$A$2:$A$201,0))))</f>
        <v/>
      </c>
      <c r="F29" s="20" t="str">
        <f>IF($A29="","",IF($N29&lt;&gt;"ACTIVO",0,INDEX(Empleados!$N$2:$N$201,MATCH($A29,Empleados!$A$2:$A$201,0))))</f>
        <v/>
      </c>
      <c r="G29" s="20" t="str">
        <f>IF($A29="","",IF($N29&lt;&gt;"ACTIVO",0,SUMIFS(Conceptos_Pago!$E$2:$E$100,Conceptos_Pago!$C$2:$C$100,"FIJO",Conceptos_Pago!$D$2:$D$100,"SI")))</f>
        <v/>
      </c>
      <c r="H29" s="20" t="str">
        <f>IF($A29="","",IF($N29&lt;&gt;"ACTIVO",0,SUMIFS(Movimientos!$F$2:$F$500,Movimientos!$A$2:$A$500,$B$2,Movimientos!$B$2:$B$500,$A29,Movimientos!$C$2:$C$500,"PAGO")))</f>
        <v/>
      </c>
      <c r="I29" s="20" t="str">
        <f t="shared" si="0"/>
        <v/>
      </c>
      <c r="J29" s="20" t="str">
        <f>IF($A29="","",IF($N29&lt;&gt;"ACTIVO",0,SUMIFS(Deducciones!$E$2:$E$100,Deducciones!$F$2:$F$100,"SI",Deducciones!$G$2:$G$100,"SI",Deducciones!$C$2:$C$100,"FIJO")+E29*SUMIFS(Deducciones!$E$2:$E$100,Deducciones!$F$2:$F$100,"SI",Deducciones!$G$2:$G$100,"SI",Deducciones!$C$2:$C$100,"PORCENTAJE",Deducciones!$D$2:$D$100,"SUELDO_BASE")+I29*SUMIFS(Deducciones!$E$2:$E$100,Deducciones!$F$2:$F$100,"SI",Deducciones!$G$2:$G$100,"SI",Deducciones!$C$2:$C$100,"PORCENTAJE",Deducciones!$D$2:$D$100,"TOTAL_PERCEPCIONES")))</f>
        <v/>
      </c>
      <c r="K29" s="20" t="str">
        <f>IF($A29="","",IF($N29&lt;&gt;"ACTIVO",0,SUMIFS(Movimientos!$F$2:$F$500,Movimientos!$A$2:$A$500,$B$2,Movimientos!$B$2:$B$500,$A29,Movimientos!$C$2:$C$500,"DEDUCCION")))</f>
        <v/>
      </c>
      <c r="L29" s="20" t="str">
        <f t="shared" si="1"/>
        <v/>
      </c>
      <c r="M29" s="20" t="str">
        <f t="shared" si="2"/>
        <v/>
      </c>
      <c r="N29" s="25" t="str">
        <f>IF($A29="","",INDEX(Empleados!$J$2:$J$201,MATCH($A29,Empleados!$A$2:$A$201,0)))</f>
        <v/>
      </c>
    </row>
    <row r="30" spans="1:14" x14ac:dyDescent="0.45">
      <c r="A30" s="24" t="str">
        <f>IF(ROW()-4&lt;=COUNTA(Empleados!$A$2:$A$201),INDEX(Empleados!$A$2:$A$201,ROW()-4),"")</f>
        <v/>
      </c>
      <c r="B30" s="25" t="str">
        <f>IF($A30="","",INDEX(Empleados!$E$2:$E$201,MATCH($A30,Empleados!$A$2:$A$201,0)))</f>
        <v/>
      </c>
      <c r="C30" s="25" t="str">
        <f>IF($A30="","",INDEX(Empleados!$O$2:$O$201,MATCH($A30,Empleados!$A$2:$A$201,0)))</f>
        <v/>
      </c>
      <c r="D30" s="25" t="str">
        <f>IF($A30="","",INDEX(Empleados!$P$2:$P$201,MATCH($A30,Empleados!$A$2:$A$201,0)))</f>
        <v/>
      </c>
      <c r="E30" s="20" t="str">
        <f>IF($A30="","",IF($N30&lt;&gt;"ACTIVO",0,INDEX(Empleados!$M$2:$M$201,MATCH($A30,Empleados!$A$2:$A$201,0))))</f>
        <v/>
      </c>
      <c r="F30" s="20" t="str">
        <f>IF($A30="","",IF($N30&lt;&gt;"ACTIVO",0,INDEX(Empleados!$N$2:$N$201,MATCH($A30,Empleados!$A$2:$A$201,0))))</f>
        <v/>
      </c>
      <c r="G30" s="20" t="str">
        <f>IF($A30="","",IF($N30&lt;&gt;"ACTIVO",0,SUMIFS(Conceptos_Pago!$E$2:$E$100,Conceptos_Pago!$C$2:$C$100,"FIJO",Conceptos_Pago!$D$2:$D$100,"SI")))</f>
        <v/>
      </c>
      <c r="H30" s="20" t="str">
        <f>IF($A30="","",IF($N30&lt;&gt;"ACTIVO",0,SUMIFS(Movimientos!$F$2:$F$500,Movimientos!$A$2:$A$500,$B$2,Movimientos!$B$2:$B$500,$A30,Movimientos!$C$2:$C$500,"PAGO")))</f>
        <v/>
      </c>
      <c r="I30" s="20" t="str">
        <f t="shared" si="0"/>
        <v/>
      </c>
      <c r="J30" s="20" t="str">
        <f>IF($A30="","",IF($N30&lt;&gt;"ACTIVO",0,SUMIFS(Deducciones!$E$2:$E$100,Deducciones!$F$2:$F$100,"SI",Deducciones!$G$2:$G$100,"SI",Deducciones!$C$2:$C$100,"FIJO")+E30*SUMIFS(Deducciones!$E$2:$E$100,Deducciones!$F$2:$F$100,"SI",Deducciones!$G$2:$G$100,"SI",Deducciones!$C$2:$C$100,"PORCENTAJE",Deducciones!$D$2:$D$100,"SUELDO_BASE")+I30*SUMIFS(Deducciones!$E$2:$E$100,Deducciones!$F$2:$F$100,"SI",Deducciones!$G$2:$G$100,"SI",Deducciones!$C$2:$C$100,"PORCENTAJE",Deducciones!$D$2:$D$100,"TOTAL_PERCEPCIONES")))</f>
        <v/>
      </c>
      <c r="K30" s="20" t="str">
        <f>IF($A30="","",IF($N30&lt;&gt;"ACTIVO",0,SUMIFS(Movimientos!$F$2:$F$500,Movimientos!$A$2:$A$500,$B$2,Movimientos!$B$2:$B$500,$A30,Movimientos!$C$2:$C$500,"DEDUCCION")))</f>
        <v/>
      </c>
      <c r="L30" s="20" t="str">
        <f t="shared" si="1"/>
        <v/>
      </c>
      <c r="M30" s="20" t="str">
        <f t="shared" si="2"/>
        <v/>
      </c>
      <c r="N30" s="25" t="str">
        <f>IF($A30="","",INDEX(Empleados!$J$2:$J$201,MATCH($A30,Empleados!$A$2:$A$201,0)))</f>
        <v/>
      </c>
    </row>
    <row r="31" spans="1:14" x14ac:dyDescent="0.45">
      <c r="A31" s="24" t="str">
        <f>IF(ROW()-4&lt;=COUNTA(Empleados!$A$2:$A$201),INDEX(Empleados!$A$2:$A$201,ROW()-4),"")</f>
        <v/>
      </c>
      <c r="B31" s="25" t="str">
        <f>IF($A31="","",INDEX(Empleados!$E$2:$E$201,MATCH($A31,Empleados!$A$2:$A$201,0)))</f>
        <v/>
      </c>
      <c r="C31" s="25" t="str">
        <f>IF($A31="","",INDEX(Empleados!$O$2:$O$201,MATCH($A31,Empleados!$A$2:$A$201,0)))</f>
        <v/>
      </c>
      <c r="D31" s="25" t="str">
        <f>IF($A31="","",INDEX(Empleados!$P$2:$P$201,MATCH($A31,Empleados!$A$2:$A$201,0)))</f>
        <v/>
      </c>
      <c r="E31" s="20" t="str">
        <f>IF($A31="","",IF($N31&lt;&gt;"ACTIVO",0,INDEX(Empleados!$M$2:$M$201,MATCH($A31,Empleados!$A$2:$A$201,0))))</f>
        <v/>
      </c>
      <c r="F31" s="20" t="str">
        <f>IF($A31="","",IF($N31&lt;&gt;"ACTIVO",0,INDEX(Empleados!$N$2:$N$201,MATCH($A31,Empleados!$A$2:$A$201,0))))</f>
        <v/>
      </c>
      <c r="G31" s="20" t="str">
        <f>IF($A31="","",IF($N31&lt;&gt;"ACTIVO",0,SUMIFS(Conceptos_Pago!$E$2:$E$100,Conceptos_Pago!$C$2:$C$100,"FIJO",Conceptos_Pago!$D$2:$D$100,"SI")))</f>
        <v/>
      </c>
      <c r="H31" s="20" t="str">
        <f>IF($A31="","",IF($N31&lt;&gt;"ACTIVO",0,SUMIFS(Movimientos!$F$2:$F$500,Movimientos!$A$2:$A$500,$B$2,Movimientos!$B$2:$B$500,$A31,Movimientos!$C$2:$C$500,"PAGO")))</f>
        <v/>
      </c>
      <c r="I31" s="20" t="str">
        <f t="shared" si="0"/>
        <v/>
      </c>
      <c r="J31" s="20" t="str">
        <f>IF($A31="","",IF($N31&lt;&gt;"ACTIVO",0,SUMIFS(Deducciones!$E$2:$E$100,Deducciones!$F$2:$F$100,"SI",Deducciones!$G$2:$G$100,"SI",Deducciones!$C$2:$C$100,"FIJO")+E31*SUMIFS(Deducciones!$E$2:$E$100,Deducciones!$F$2:$F$100,"SI",Deducciones!$G$2:$G$100,"SI",Deducciones!$C$2:$C$100,"PORCENTAJE",Deducciones!$D$2:$D$100,"SUELDO_BASE")+I31*SUMIFS(Deducciones!$E$2:$E$100,Deducciones!$F$2:$F$100,"SI",Deducciones!$G$2:$G$100,"SI",Deducciones!$C$2:$C$100,"PORCENTAJE",Deducciones!$D$2:$D$100,"TOTAL_PERCEPCIONES")))</f>
        <v/>
      </c>
      <c r="K31" s="20" t="str">
        <f>IF($A31="","",IF($N31&lt;&gt;"ACTIVO",0,SUMIFS(Movimientos!$F$2:$F$500,Movimientos!$A$2:$A$500,$B$2,Movimientos!$B$2:$B$500,$A31,Movimientos!$C$2:$C$500,"DEDUCCION")))</f>
        <v/>
      </c>
      <c r="L31" s="20" t="str">
        <f t="shared" si="1"/>
        <v/>
      </c>
      <c r="M31" s="20" t="str">
        <f t="shared" si="2"/>
        <v/>
      </c>
      <c r="N31" s="25" t="str">
        <f>IF($A31="","",INDEX(Empleados!$J$2:$J$201,MATCH($A31,Empleados!$A$2:$A$201,0)))</f>
        <v/>
      </c>
    </row>
    <row r="32" spans="1:14" x14ac:dyDescent="0.45">
      <c r="A32" s="24" t="str">
        <f>IF(ROW()-4&lt;=COUNTA(Empleados!$A$2:$A$201),INDEX(Empleados!$A$2:$A$201,ROW()-4),"")</f>
        <v/>
      </c>
      <c r="B32" s="25" t="str">
        <f>IF($A32="","",INDEX(Empleados!$E$2:$E$201,MATCH($A32,Empleados!$A$2:$A$201,0)))</f>
        <v/>
      </c>
      <c r="C32" s="25" t="str">
        <f>IF($A32="","",INDEX(Empleados!$O$2:$O$201,MATCH($A32,Empleados!$A$2:$A$201,0)))</f>
        <v/>
      </c>
      <c r="D32" s="25" t="str">
        <f>IF($A32="","",INDEX(Empleados!$P$2:$P$201,MATCH($A32,Empleados!$A$2:$A$201,0)))</f>
        <v/>
      </c>
      <c r="E32" s="20" t="str">
        <f>IF($A32="","",IF($N32&lt;&gt;"ACTIVO",0,INDEX(Empleados!$M$2:$M$201,MATCH($A32,Empleados!$A$2:$A$201,0))))</f>
        <v/>
      </c>
      <c r="F32" s="20" t="str">
        <f>IF($A32="","",IF($N32&lt;&gt;"ACTIVO",0,INDEX(Empleados!$N$2:$N$201,MATCH($A32,Empleados!$A$2:$A$201,0))))</f>
        <v/>
      </c>
      <c r="G32" s="20" t="str">
        <f>IF($A32="","",IF($N32&lt;&gt;"ACTIVO",0,SUMIFS(Conceptos_Pago!$E$2:$E$100,Conceptos_Pago!$C$2:$C$100,"FIJO",Conceptos_Pago!$D$2:$D$100,"SI")))</f>
        <v/>
      </c>
      <c r="H32" s="20" t="str">
        <f>IF($A32="","",IF($N32&lt;&gt;"ACTIVO",0,SUMIFS(Movimientos!$F$2:$F$500,Movimientos!$A$2:$A$500,$B$2,Movimientos!$B$2:$B$500,$A32,Movimientos!$C$2:$C$500,"PAGO")))</f>
        <v/>
      </c>
      <c r="I32" s="20" t="str">
        <f t="shared" si="0"/>
        <v/>
      </c>
      <c r="J32" s="20" t="str">
        <f>IF($A32="","",IF($N32&lt;&gt;"ACTIVO",0,SUMIFS(Deducciones!$E$2:$E$100,Deducciones!$F$2:$F$100,"SI",Deducciones!$G$2:$G$100,"SI",Deducciones!$C$2:$C$100,"FIJO")+E32*SUMIFS(Deducciones!$E$2:$E$100,Deducciones!$F$2:$F$100,"SI",Deducciones!$G$2:$G$100,"SI",Deducciones!$C$2:$C$100,"PORCENTAJE",Deducciones!$D$2:$D$100,"SUELDO_BASE")+I32*SUMIFS(Deducciones!$E$2:$E$100,Deducciones!$F$2:$F$100,"SI",Deducciones!$G$2:$G$100,"SI",Deducciones!$C$2:$C$100,"PORCENTAJE",Deducciones!$D$2:$D$100,"TOTAL_PERCEPCIONES")))</f>
        <v/>
      </c>
      <c r="K32" s="20" t="str">
        <f>IF($A32="","",IF($N32&lt;&gt;"ACTIVO",0,SUMIFS(Movimientos!$F$2:$F$500,Movimientos!$A$2:$A$500,$B$2,Movimientos!$B$2:$B$500,$A32,Movimientos!$C$2:$C$500,"DEDUCCION")))</f>
        <v/>
      </c>
      <c r="L32" s="20" t="str">
        <f t="shared" si="1"/>
        <v/>
      </c>
      <c r="M32" s="20" t="str">
        <f t="shared" si="2"/>
        <v/>
      </c>
      <c r="N32" s="25" t="str">
        <f>IF($A32="","",INDEX(Empleados!$J$2:$J$201,MATCH($A32,Empleados!$A$2:$A$201,0)))</f>
        <v/>
      </c>
    </row>
    <row r="33" spans="1:14" x14ac:dyDescent="0.45">
      <c r="A33" s="24" t="str">
        <f>IF(ROW()-4&lt;=COUNTA(Empleados!$A$2:$A$201),INDEX(Empleados!$A$2:$A$201,ROW()-4),"")</f>
        <v/>
      </c>
      <c r="B33" s="25" t="str">
        <f>IF($A33="","",INDEX(Empleados!$E$2:$E$201,MATCH($A33,Empleados!$A$2:$A$201,0)))</f>
        <v/>
      </c>
      <c r="C33" s="25" t="str">
        <f>IF($A33="","",INDEX(Empleados!$O$2:$O$201,MATCH($A33,Empleados!$A$2:$A$201,0)))</f>
        <v/>
      </c>
      <c r="D33" s="25" t="str">
        <f>IF($A33="","",INDEX(Empleados!$P$2:$P$201,MATCH($A33,Empleados!$A$2:$A$201,0)))</f>
        <v/>
      </c>
      <c r="E33" s="20" t="str">
        <f>IF($A33="","",IF($N33&lt;&gt;"ACTIVO",0,INDEX(Empleados!$M$2:$M$201,MATCH($A33,Empleados!$A$2:$A$201,0))))</f>
        <v/>
      </c>
      <c r="F33" s="20" t="str">
        <f>IF($A33="","",IF($N33&lt;&gt;"ACTIVO",0,INDEX(Empleados!$N$2:$N$201,MATCH($A33,Empleados!$A$2:$A$201,0))))</f>
        <v/>
      </c>
      <c r="G33" s="20" t="str">
        <f>IF($A33="","",IF($N33&lt;&gt;"ACTIVO",0,SUMIFS(Conceptos_Pago!$E$2:$E$100,Conceptos_Pago!$C$2:$C$100,"FIJO",Conceptos_Pago!$D$2:$D$100,"SI")))</f>
        <v/>
      </c>
      <c r="H33" s="20" t="str">
        <f>IF($A33="","",IF($N33&lt;&gt;"ACTIVO",0,SUMIFS(Movimientos!$F$2:$F$500,Movimientos!$A$2:$A$500,$B$2,Movimientos!$B$2:$B$500,$A33,Movimientos!$C$2:$C$500,"PAGO")))</f>
        <v/>
      </c>
      <c r="I33" s="20" t="str">
        <f t="shared" si="0"/>
        <v/>
      </c>
      <c r="J33" s="20" t="str">
        <f>IF($A33="","",IF($N33&lt;&gt;"ACTIVO",0,SUMIFS(Deducciones!$E$2:$E$100,Deducciones!$F$2:$F$100,"SI",Deducciones!$G$2:$G$100,"SI",Deducciones!$C$2:$C$100,"FIJO")+E33*SUMIFS(Deducciones!$E$2:$E$100,Deducciones!$F$2:$F$100,"SI",Deducciones!$G$2:$G$100,"SI",Deducciones!$C$2:$C$100,"PORCENTAJE",Deducciones!$D$2:$D$100,"SUELDO_BASE")+I33*SUMIFS(Deducciones!$E$2:$E$100,Deducciones!$F$2:$F$100,"SI",Deducciones!$G$2:$G$100,"SI",Deducciones!$C$2:$C$100,"PORCENTAJE",Deducciones!$D$2:$D$100,"TOTAL_PERCEPCIONES")))</f>
        <v/>
      </c>
      <c r="K33" s="20" t="str">
        <f>IF($A33="","",IF($N33&lt;&gt;"ACTIVO",0,SUMIFS(Movimientos!$F$2:$F$500,Movimientos!$A$2:$A$500,$B$2,Movimientos!$B$2:$B$500,$A33,Movimientos!$C$2:$C$500,"DEDUCCION")))</f>
        <v/>
      </c>
      <c r="L33" s="20" t="str">
        <f t="shared" si="1"/>
        <v/>
      </c>
      <c r="M33" s="20" t="str">
        <f t="shared" si="2"/>
        <v/>
      </c>
      <c r="N33" s="25" t="str">
        <f>IF($A33="","",INDEX(Empleados!$J$2:$J$201,MATCH($A33,Empleados!$A$2:$A$201,0)))</f>
        <v/>
      </c>
    </row>
    <row r="34" spans="1:14" x14ac:dyDescent="0.45">
      <c r="A34" s="24" t="str">
        <f>IF(ROW()-4&lt;=COUNTA(Empleados!$A$2:$A$201),INDEX(Empleados!$A$2:$A$201,ROW()-4),"")</f>
        <v/>
      </c>
      <c r="B34" s="25" t="str">
        <f>IF($A34="","",INDEX(Empleados!$E$2:$E$201,MATCH($A34,Empleados!$A$2:$A$201,0)))</f>
        <v/>
      </c>
      <c r="C34" s="25" t="str">
        <f>IF($A34="","",INDEX(Empleados!$O$2:$O$201,MATCH($A34,Empleados!$A$2:$A$201,0)))</f>
        <v/>
      </c>
      <c r="D34" s="25" t="str">
        <f>IF($A34="","",INDEX(Empleados!$P$2:$P$201,MATCH($A34,Empleados!$A$2:$A$201,0)))</f>
        <v/>
      </c>
      <c r="E34" s="20" t="str">
        <f>IF($A34="","",IF($N34&lt;&gt;"ACTIVO",0,INDEX(Empleados!$M$2:$M$201,MATCH($A34,Empleados!$A$2:$A$201,0))))</f>
        <v/>
      </c>
      <c r="F34" s="20" t="str">
        <f>IF($A34="","",IF($N34&lt;&gt;"ACTIVO",0,INDEX(Empleados!$N$2:$N$201,MATCH($A34,Empleados!$A$2:$A$201,0))))</f>
        <v/>
      </c>
      <c r="G34" s="20" t="str">
        <f>IF($A34="","",IF($N34&lt;&gt;"ACTIVO",0,SUMIFS(Conceptos_Pago!$E$2:$E$100,Conceptos_Pago!$C$2:$C$100,"FIJO",Conceptos_Pago!$D$2:$D$100,"SI")))</f>
        <v/>
      </c>
      <c r="H34" s="20" t="str">
        <f>IF($A34="","",IF($N34&lt;&gt;"ACTIVO",0,SUMIFS(Movimientos!$F$2:$F$500,Movimientos!$A$2:$A$500,$B$2,Movimientos!$B$2:$B$500,$A34,Movimientos!$C$2:$C$500,"PAGO")))</f>
        <v/>
      </c>
      <c r="I34" s="20" t="str">
        <f t="shared" si="0"/>
        <v/>
      </c>
      <c r="J34" s="20" t="str">
        <f>IF($A34="","",IF($N34&lt;&gt;"ACTIVO",0,SUMIFS(Deducciones!$E$2:$E$100,Deducciones!$F$2:$F$100,"SI",Deducciones!$G$2:$G$100,"SI",Deducciones!$C$2:$C$100,"FIJO")+E34*SUMIFS(Deducciones!$E$2:$E$100,Deducciones!$F$2:$F$100,"SI",Deducciones!$G$2:$G$100,"SI",Deducciones!$C$2:$C$100,"PORCENTAJE",Deducciones!$D$2:$D$100,"SUELDO_BASE")+I34*SUMIFS(Deducciones!$E$2:$E$100,Deducciones!$F$2:$F$100,"SI",Deducciones!$G$2:$G$100,"SI",Deducciones!$C$2:$C$100,"PORCENTAJE",Deducciones!$D$2:$D$100,"TOTAL_PERCEPCIONES")))</f>
        <v/>
      </c>
      <c r="K34" s="20" t="str">
        <f>IF($A34="","",IF($N34&lt;&gt;"ACTIVO",0,SUMIFS(Movimientos!$F$2:$F$500,Movimientos!$A$2:$A$500,$B$2,Movimientos!$B$2:$B$500,$A34,Movimientos!$C$2:$C$500,"DEDUCCION")))</f>
        <v/>
      </c>
      <c r="L34" s="20" t="str">
        <f t="shared" si="1"/>
        <v/>
      </c>
      <c r="M34" s="20" t="str">
        <f t="shared" si="2"/>
        <v/>
      </c>
      <c r="N34" s="25" t="str">
        <f>IF($A34="","",INDEX(Empleados!$J$2:$J$201,MATCH($A34,Empleados!$A$2:$A$201,0)))</f>
        <v/>
      </c>
    </row>
    <row r="35" spans="1:14" x14ac:dyDescent="0.45">
      <c r="A35" s="24" t="str">
        <f>IF(ROW()-4&lt;=COUNTA(Empleados!$A$2:$A$201),INDEX(Empleados!$A$2:$A$201,ROW()-4),"")</f>
        <v/>
      </c>
      <c r="B35" s="25" t="str">
        <f>IF($A35="","",INDEX(Empleados!$E$2:$E$201,MATCH($A35,Empleados!$A$2:$A$201,0)))</f>
        <v/>
      </c>
      <c r="C35" s="25" t="str">
        <f>IF($A35="","",INDEX(Empleados!$O$2:$O$201,MATCH($A35,Empleados!$A$2:$A$201,0)))</f>
        <v/>
      </c>
      <c r="D35" s="25" t="str">
        <f>IF($A35="","",INDEX(Empleados!$P$2:$P$201,MATCH($A35,Empleados!$A$2:$A$201,0)))</f>
        <v/>
      </c>
      <c r="E35" s="20" t="str">
        <f>IF($A35="","",IF($N35&lt;&gt;"ACTIVO",0,INDEX(Empleados!$M$2:$M$201,MATCH($A35,Empleados!$A$2:$A$201,0))))</f>
        <v/>
      </c>
      <c r="F35" s="20" t="str">
        <f>IF($A35="","",IF($N35&lt;&gt;"ACTIVO",0,INDEX(Empleados!$N$2:$N$201,MATCH($A35,Empleados!$A$2:$A$201,0))))</f>
        <v/>
      </c>
      <c r="G35" s="20" t="str">
        <f>IF($A35="","",IF($N35&lt;&gt;"ACTIVO",0,SUMIFS(Conceptos_Pago!$E$2:$E$100,Conceptos_Pago!$C$2:$C$100,"FIJO",Conceptos_Pago!$D$2:$D$100,"SI")))</f>
        <v/>
      </c>
      <c r="H35" s="20" t="str">
        <f>IF($A35="","",IF($N35&lt;&gt;"ACTIVO",0,SUMIFS(Movimientos!$F$2:$F$500,Movimientos!$A$2:$A$500,$B$2,Movimientos!$B$2:$B$500,$A35,Movimientos!$C$2:$C$500,"PAGO")))</f>
        <v/>
      </c>
      <c r="I35" s="20" t="str">
        <f t="shared" si="0"/>
        <v/>
      </c>
      <c r="J35" s="20" t="str">
        <f>IF($A35="","",IF($N35&lt;&gt;"ACTIVO",0,SUMIFS(Deducciones!$E$2:$E$100,Deducciones!$F$2:$F$100,"SI",Deducciones!$G$2:$G$100,"SI",Deducciones!$C$2:$C$100,"FIJO")+E35*SUMIFS(Deducciones!$E$2:$E$100,Deducciones!$F$2:$F$100,"SI",Deducciones!$G$2:$G$100,"SI",Deducciones!$C$2:$C$100,"PORCENTAJE",Deducciones!$D$2:$D$100,"SUELDO_BASE")+I35*SUMIFS(Deducciones!$E$2:$E$100,Deducciones!$F$2:$F$100,"SI",Deducciones!$G$2:$G$100,"SI",Deducciones!$C$2:$C$100,"PORCENTAJE",Deducciones!$D$2:$D$100,"TOTAL_PERCEPCIONES")))</f>
        <v/>
      </c>
      <c r="K35" s="20" t="str">
        <f>IF($A35="","",IF($N35&lt;&gt;"ACTIVO",0,SUMIFS(Movimientos!$F$2:$F$500,Movimientos!$A$2:$A$500,$B$2,Movimientos!$B$2:$B$500,$A35,Movimientos!$C$2:$C$500,"DEDUCCION")))</f>
        <v/>
      </c>
      <c r="L35" s="20" t="str">
        <f t="shared" si="1"/>
        <v/>
      </c>
      <c r="M35" s="20" t="str">
        <f t="shared" si="2"/>
        <v/>
      </c>
      <c r="N35" s="25" t="str">
        <f>IF($A35="","",INDEX(Empleados!$J$2:$J$201,MATCH($A35,Empleados!$A$2:$A$201,0)))</f>
        <v/>
      </c>
    </row>
    <row r="36" spans="1:14" x14ac:dyDescent="0.45">
      <c r="A36" s="24" t="str">
        <f>IF(ROW()-4&lt;=COUNTA(Empleados!$A$2:$A$201),INDEX(Empleados!$A$2:$A$201,ROW()-4),"")</f>
        <v/>
      </c>
      <c r="B36" s="25" t="str">
        <f>IF($A36="","",INDEX(Empleados!$E$2:$E$201,MATCH($A36,Empleados!$A$2:$A$201,0)))</f>
        <v/>
      </c>
      <c r="C36" s="25" t="str">
        <f>IF($A36="","",INDEX(Empleados!$O$2:$O$201,MATCH($A36,Empleados!$A$2:$A$201,0)))</f>
        <v/>
      </c>
      <c r="D36" s="25" t="str">
        <f>IF($A36="","",INDEX(Empleados!$P$2:$P$201,MATCH($A36,Empleados!$A$2:$A$201,0)))</f>
        <v/>
      </c>
      <c r="E36" s="20" t="str">
        <f>IF($A36="","",IF($N36&lt;&gt;"ACTIVO",0,INDEX(Empleados!$M$2:$M$201,MATCH($A36,Empleados!$A$2:$A$201,0))))</f>
        <v/>
      </c>
      <c r="F36" s="20" t="str">
        <f>IF($A36="","",IF($N36&lt;&gt;"ACTIVO",0,INDEX(Empleados!$N$2:$N$201,MATCH($A36,Empleados!$A$2:$A$201,0))))</f>
        <v/>
      </c>
      <c r="G36" s="20" t="str">
        <f>IF($A36="","",IF($N36&lt;&gt;"ACTIVO",0,SUMIFS(Conceptos_Pago!$E$2:$E$100,Conceptos_Pago!$C$2:$C$100,"FIJO",Conceptos_Pago!$D$2:$D$100,"SI")))</f>
        <v/>
      </c>
      <c r="H36" s="20" t="str">
        <f>IF($A36="","",IF($N36&lt;&gt;"ACTIVO",0,SUMIFS(Movimientos!$F$2:$F$500,Movimientos!$A$2:$A$500,$B$2,Movimientos!$B$2:$B$500,$A36,Movimientos!$C$2:$C$500,"PAGO")))</f>
        <v/>
      </c>
      <c r="I36" s="20" t="str">
        <f t="shared" si="0"/>
        <v/>
      </c>
      <c r="J36" s="20" t="str">
        <f>IF($A36="","",IF($N36&lt;&gt;"ACTIVO",0,SUMIFS(Deducciones!$E$2:$E$100,Deducciones!$F$2:$F$100,"SI",Deducciones!$G$2:$G$100,"SI",Deducciones!$C$2:$C$100,"FIJO")+E36*SUMIFS(Deducciones!$E$2:$E$100,Deducciones!$F$2:$F$100,"SI",Deducciones!$G$2:$G$100,"SI",Deducciones!$C$2:$C$100,"PORCENTAJE",Deducciones!$D$2:$D$100,"SUELDO_BASE")+I36*SUMIFS(Deducciones!$E$2:$E$100,Deducciones!$F$2:$F$100,"SI",Deducciones!$G$2:$G$100,"SI",Deducciones!$C$2:$C$100,"PORCENTAJE",Deducciones!$D$2:$D$100,"TOTAL_PERCEPCIONES")))</f>
        <v/>
      </c>
      <c r="K36" s="20" t="str">
        <f>IF($A36="","",IF($N36&lt;&gt;"ACTIVO",0,SUMIFS(Movimientos!$F$2:$F$500,Movimientos!$A$2:$A$500,$B$2,Movimientos!$B$2:$B$500,$A36,Movimientos!$C$2:$C$500,"DEDUCCION")))</f>
        <v/>
      </c>
      <c r="L36" s="20" t="str">
        <f t="shared" si="1"/>
        <v/>
      </c>
      <c r="M36" s="20" t="str">
        <f t="shared" si="2"/>
        <v/>
      </c>
      <c r="N36" s="25" t="str">
        <f>IF($A36="","",INDEX(Empleados!$J$2:$J$201,MATCH($A36,Empleados!$A$2:$A$201,0)))</f>
        <v/>
      </c>
    </row>
    <row r="37" spans="1:14" x14ac:dyDescent="0.45">
      <c r="A37" s="24" t="str">
        <f>IF(ROW()-4&lt;=COUNTA(Empleados!$A$2:$A$201),INDEX(Empleados!$A$2:$A$201,ROW()-4),"")</f>
        <v/>
      </c>
      <c r="B37" s="25" t="str">
        <f>IF($A37="","",INDEX(Empleados!$E$2:$E$201,MATCH($A37,Empleados!$A$2:$A$201,0)))</f>
        <v/>
      </c>
      <c r="C37" s="25" t="str">
        <f>IF($A37="","",INDEX(Empleados!$O$2:$O$201,MATCH($A37,Empleados!$A$2:$A$201,0)))</f>
        <v/>
      </c>
      <c r="D37" s="25" t="str">
        <f>IF($A37="","",INDEX(Empleados!$P$2:$P$201,MATCH($A37,Empleados!$A$2:$A$201,0)))</f>
        <v/>
      </c>
      <c r="E37" s="20" t="str">
        <f>IF($A37="","",IF($N37&lt;&gt;"ACTIVO",0,INDEX(Empleados!$M$2:$M$201,MATCH($A37,Empleados!$A$2:$A$201,0))))</f>
        <v/>
      </c>
      <c r="F37" s="20" t="str">
        <f>IF($A37="","",IF($N37&lt;&gt;"ACTIVO",0,INDEX(Empleados!$N$2:$N$201,MATCH($A37,Empleados!$A$2:$A$201,0))))</f>
        <v/>
      </c>
      <c r="G37" s="20" t="str">
        <f>IF($A37="","",IF($N37&lt;&gt;"ACTIVO",0,SUMIFS(Conceptos_Pago!$E$2:$E$100,Conceptos_Pago!$C$2:$C$100,"FIJO",Conceptos_Pago!$D$2:$D$100,"SI")))</f>
        <v/>
      </c>
      <c r="H37" s="20" t="str">
        <f>IF($A37="","",IF($N37&lt;&gt;"ACTIVO",0,SUMIFS(Movimientos!$F$2:$F$500,Movimientos!$A$2:$A$500,$B$2,Movimientos!$B$2:$B$500,$A37,Movimientos!$C$2:$C$500,"PAGO")))</f>
        <v/>
      </c>
      <c r="I37" s="20" t="str">
        <f t="shared" ref="I37:I68" si="3">IF($A37="","",SUM(E37:H37))</f>
        <v/>
      </c>
      <c r="J37" s="20" t="str">
        <f>IF($A37="","",IF($N37&lt;&gt;"ACTIVO",0,SUMIFS(Deducciones!$E$2:$E$100,Deducciones!$F$2:$F$100,"SI",Deducciones!$G$2:$G$100,"SI",Deducciones!$C$2:$C$100,"FIJO")+E37*SUMIFS(Deducciones!$E$2:$E$100,Deducciones!$F$2:$F$100,"SI",Deducciones!$G$2:$G$100,"SI",Deducciones!$C$2:$C$100,"PORCENTAJE",Deducciones!$D$2:$D$100,"SUELDO_BASE")+I37*SUMIFS(Deducciones!$E$2:$E$100,Deducciones!$F$2:$F$100,"SI",Deducciones!$G$2:$G$100,"SI",Deducciones!$C$2:$C$100,"PORCENTAJE",Deducciones!$D$2:$D$100,"TOTAL_PERCEPCIONES")))</f>
        <v/>
      </c>
      <c r="K37" s="20" t="str">
        <f>IF($A37="","",IF($N37&lt;&gt;"ACTIVO",0,SUMIFS(Movimientos!$F$2:$F$500,Movimientos!$A$2:$A$500,$B$2,Movimientos!$B$2:$B$500,$A37,Movimientos!$C$2:$C$500,"DEDUCCION")))</f>
        <v/>
      </c>
      <c r="L37" s="20" t="str">
        <f t="shared" ref="L37:L68" si="4">IF($A37="","",SUM(J37:K37))</f>
        <v/>
      </c>
      <c r="M37" s="20" t="str">
        <f t="shared" ref="M37:M68" si="5">IF($A37="","",I37-L37)</f>
        <v/>
      </c>
      <c r="N37" s="25" t="str">
        <f>IF($A37="","",INDEX(Empleados!$J$2:$J$201,MATCH($A37,Empleados!$A$2:$A$201,0)))</f>
        <v/>
      </c>
    </row>
    <row r="38" spans="1:14" x14ac:dyDescent="0.45">
      <c r="A38" s="24" t="str">
        <f>IF(ROW()-4&lt;=COUNTA(Empleados!$A$2:$A$201),INDEX(Empleados!$A$2:$A$201,ROW()-4),"")</f>
        <v/>
      </c>
      <c r="B38" s="25" t="str">
        <f>IF($A38="","",INDEX(Empleados!$E$2:$E$201,MATCH($A38,Empleados!$A$2:$A$201,0)))</f>
        <v/>
      </c>
      <c r="C38" s="25" t="str">
        <f>IF($A38="","",INDEX(Empleados!$O$2:$O$201,MATCH($A38,Empleados!$A$2:$A$201,0)))</f>
        <v/>
      </c>
      <c r="D38" s="25" t="str">
        <f>IF($A38="","",INDEX(Empleados!$P$2:$P$201,MATCH($A38,Empleados!$A$2:$A$201,0)))</f>
        <v/>
      </c>
      <c r="E38" s="20" t="str">
        <f>IF($A38="","",IF($N38&lt;&gt;"ACTIVO",0,INDEX(Empleados!$M$2:$M$201,MATCH($A38,Empleados!$A$2:$A$201,0))))</f>
        <v/>
      </c>
      <c r="F38" s="20" t="str">
        <f>IF($A38="","",IF($N38&lt;&gt;"ACTIVO",0,INDEX(Empleados!$N$2:$N$201,MATCH($A38,Empleados!$A$2:$A$201,0))))</f>
        <v/>
      </c>
      <c r="G38" s="20" t="str">
        <f>IF($A38="","",IF($N38&lt;&gt;"ACTIVO",0,SUMIFS(Conceptos_Pago!$E$2:$E$100,Conceptos_Pago!$C$2:$C$100,"FIJO",Conceptos_Pago!$D$2:$D$100,"SI")))</f>
        <v/>
      </c>
      <c r="H38" s="20" t="str">
        <f>IF($A38="","",IF($N38&lt;&gt;"ACTIVO",0,SUMIFS(Movimientos!$F$2:$F$500,Movimientos!$A$2:$A$500,$B$2,Movimientos!$B$2:$B$500,$A38,Movimientos!$C$2:$C$500,"PAGO")))</f>
        <v/>
      </c>
      <c r="I38" s="20" t="str">
        <f t="shared" si="3"/>
        <v/>
      </c>
      <c r="J38" s="20" t="str">
        <f>IF($A38="","",IF($N38&lt;&gt;"ACTIVO",0,SUMIFS(Deducciones!$E$2:$E$100,Deducciones!$F$2:$F$100,"SI",Deducciones!$G$2:$G$100,"SI",Deducciones!$C$2:$C$100,"FIJO")+E38*SUMIFS(Deducciones!$E$2:$E$100,Deducciones!$F$2:$F$100,"SI",Deducciones!$G$2:$G$100,"SI",Deducciones!$C$2:$C$100,"PORCENTAJE",Deducciones!$D$2:$D$100,"SUELDO_BASE")+I38*SUMIFS(Deducciones!$E$2:$E$100,Deducciones!$F$2:$F$100,"SI",Deducciones!$G$2:$G$100,"SI",Deducciones!$C$2:$C$100,"PORCENTAJE",Deducciones!$D$2:$D$100,"TOTAL_PERCEPCIONES")))</f>
        <v/>
      </c>
      <c r="K38" s="20" t="str">
        <f>IF($A38="","",IF($N38&lt;&gt;"ACTIVO",0,SUMIFS(Movimientos!$F$2:$F$500,Movimientos!$A$2:$A$500,$B$2,Movimientos!$B$2:$B$500,$A38,Movimientos!$C$2:$C$500,"DEDUCCION")))</f>
        <v/>
      </c>
      <c r="L38" s="20" t="str">
        <f t="shared" si="4"/>
        <v/>
      </c>
      <c r="M38" s="20" t="str">
        <f t="shared" si="5"/>
        <v/>
      </c>
      <c r="N38" s="25" t="str">
        <f>IF($A38="","",INDEX(Empleados!$J$2:$J$201,MATCH($A38,Empleados!$A$2:$A$201,0)))</f>
        <v/>
      </c>
    </row>
    <row r="39" spans="1:14" x14ac:dyDescent="0.45">
      <c r="A39" s="24" t="str">
        <f>IF(ROW()-4&lt;=COUNTA(Empleados!$A$2:$A$201),INDEX(Empleados!$A$2:$A$201,ROW()-4),"")</f>
        <v/>
      </c>
      <c r="B39" s="25" t="str">
        <f>IF($A39="","",INDEX(Empleados!$E$2:$E$201,MATCH($A39,Empleados!$A$2:$A$201,0)))</f>
        <v/>
      </c>
      <c r="C39" s="25" t="str">
        <f>IF($A39="","",INDEX(Empleados!$O$2:$O$201,MATCH($A39,Empleados!$A$2:$A$201,0)))</f>
        <v/>
      </c>
      <c r="D39" s="25" t="str">
        <f>IF($A39="","",INDEX(Empleados!$P$2:$P$201,MATCH($A39,Empleados!$A$2:$A$201,0)))</f>
        <v/>
      </c>
      <c r="E39" s="20" t="str">
        <f>IF($A39="","",IF($N39&lt;&gt;"ACTIVO",0,INDEX(Empleados!$M$2:$M$201,MATCH($A39,Empleados!$A$2:$A$201,0))))</f>
        <v/>
      </c>
      <c r="F39" s="20" t="str">
        <f>IF($A39="","",IF($N39&lt;&gt;"ACTIVO",0,INDEX(Empleados!$N$2:$N$201,MATCH($A39,Empleados!$A$2:$A$201,0))))</f>
        <v/>
      </c>
      <c r="G39" s="20" t="str">
        <f>IF($A39="","",IF($N39&lt;&gt;"ACTIVO",0,SUMIFS(Conceptos_Pago!$E$2:$E$100,Conceptos_Pago!$C$2:$C$100,"FIJO",Conceptos_Pago!$D$2:$D$100,"SI")))</f>
        <v/>
      </c>
      <c r="H39" s="20" t="str">
        <f>IF($A39="","",IF($N39&lt;&gt;"ACTIVO",0,SUMIFS(Movimientos!$F$2:$F$500,Movimientos!$A$2:$A$500,$B$2,Movimientos!$B$2:$B$500,$A39,Movimientos!$C$2:$C$500,"PAGO")))</f>
        <v/>
      </c>
      <c r="I39" s="20" t="str">
        <f t="shared" si="3"/>
        <v/>
      </c>
      <c r="J39" s="20" t="str">
        <f>IF($A39="","",IF($N39&lt;&gt;"ACTIVO",0,SUMIFS(Deducciones!$E$2:$E$100,Deducciones!$F$2:$F$100,"SI",Deducciones!$G$2:$G$100,"SI",Deducciones!$C$2:$C$100,"FIJO")+E39*SUMIFS(Deducciones!$E$2:$E$100,Deducciones!$F$2:$F$100,"SI",Deducciones!$G$2:$G$100,"SI",Deducciones!$C$2:$C$100,"PORCENTAJE",Deducciones!$D$2:$D$100,"SUELDO_BASE")+I39*SUMIFS(Deducciones!$E$2:$E$100,Deducciones!$F$2:$F$100,"SI",Deducciones!$G$2:$G$100,"SI",Deducciones!$C$2:$C$100,"PORCENTAJE",Deducciones!$D$2:$D$100,"TOTAL_PERCEPCIONES")))</f>
        <v/>
      </c>
      <c r="K39" s="20" t="str">
        <f>IF($A39="","",IF($N39&lt;&gt;"ACTIVO",0,SUMIFS(Movimientos!$F$2:$F$500,Movimientos!$A$2:$A$500,$B$2,Movimientos!$B$2:$B$500,$A39,Movimientos!$C$2:$C$500,"DEDUCCION")))</f>
        <v/>
      </c>
      <c r="L39" s="20" t="str">
        <f t="shared" si="4"/>
        <v/>
      </c>
      <c r="M39" s="20" t="str">
        <f t="shared" si="5"/>
        <v/>
      </c>
      <c r="N39" s="25" t="str">
        <f>IF($A39="","",INDEX(Empleados!$J$2:$J$201,MATCH($A39,Empleados!$A$2:$A$201,0)))</f>
        <v/>
      </c>
    </row>
    <row r="40" spans="1:14" x14ac:dyDescent="0.45">
      <c r="A40" s="24" t="str">
        <f>IF(ROW()-4&lt;=COUNTA(Empleados!$A$2:$A$201),INDEX(Empleados!$A$2:$A$201,ROW()-4),"")</f>
        <v/>
      </c>
      <c r="B40" s="25" t="str">
        <f>IF($A40="","",INDEX(Empleados!$E$2:$E$201,MATCH($A40,Empleados!$A$2:$A$201,0)))</f>
        <v/>
      </c>
      <c r="C40" s="25" t="str">
        <f>IF($A40="","",INDEX(Empleados!$O$2:$O$201,MATCH($A40,Empleados!$A$2:$A$201,0)))</f>
        <v/>
      </c>
      <c r="D40" s="25" t="str">
        <f>IF($A40="","",INDEX(Empleados!$P$2:$P$201,MATCH($A40,Empleados!$A$2:$A$201,0)))</f>
        <v/>
      </c>
      <c r="E40" s="20" t="str">
        <f>IF($A40="","",IF($N40&lt;&gt;"ACTIVO",0,INDEX(Empleados!$M$2:$M$201,MATCH($A40,Empleados!$A$2:$A$201,0))))</f>
        <v/>
      </c>
      <c r="F40" s="20" t="str">
        <f>IF($A40="","",IF($N40&lt;&gt;"ACTIVO",0,INDEX(Empleados!$N$2:$N$201,MATCH($A40,Empleados!$A$2:$A$201,0))))</f>
        <v/>
      </c>
      <c r="G40" s="20" t="str">
        <f>IF($A40="","",IF($N40&lt;&gt;"ACTIVO",0,SUMIFS(Conceptos_Pago!$E$2:$E$100,Conceptos_Pago!$C$2:$C$100,"FIJO",Conceptos_Pago!$D$2:$D$100,"SI")))</f>
        <v/>
      </c>
      <c r="H40" s="20" t="str">
        <f>IF($A40="","",IF($N40&lt;&gt;"ACTIVO",0,SUMIFS(Movimientos!$F$2:$F$500,Movimientos!$A$2:$A$500,$B$2,Movimientos!$B$2:$B$500,$A40,Movimientos!$C$2:$C$500,"PAGO")))</f>
        <v/>
      </c>
      <c r="I40" s="20" t="str">
        <f t="shared" si="3"/>
        <v/>
      </c>
      <c r="J40" s="20" t="str">
        <f>IF($A40="","",IF($N40&lt;&gt;"ACTIVO",0,SUMIFS(Deducciones!$E$2:$E$100,Deducciones!$F$2:$F$100,"SI",Deducciones!$G$2:$G$100,"SI",Deducciones!$C$2:$C$100,"FIJO")+E40*SUMIFS(Deducciones!$E$2:$E$100,Deducciones!$F$2:$F$100,"SI",Deducciones!$G$2:$G$100,"SI",Deducciones!$C$2:$C$100,"PORCENTAJE",Deducciones!$D$2:$D$100,"SUELDO_BASE")+I40*SUMIFS(Deducciones!$E$2:$E$100,Deducciones!$F$2:$F$100,"SI",Deducciones!$G$2:$G$100,"SI",Deducciones!$C$2:$C$100,"PORCENTAJE",Deducciones!$D$2:$D$100,"TOTAL_PERCEPCIONES")))</f>
        <v/>
      </c>
      <c r="K40" s="20" t="str">
        <f>IF($A40="","",IF($N40&lt;&gt;"ACTIVO",0,SUMIFS(Movimientos!$F$2:$F$500,Movimientos!$A$2:$A$500,$B$2,Movimientos!$B$2:$B$500,$A40,Movimientos!$C$2:$C$500,"DEDUCCION")))</f>
        <v/>
      </c>
      <c r="L40" s="20" t="str">
        <f t="shared" si="4"/>
        <v/>
      </c>
      <c r="M40" s="20" t="str">
        <f t="shared" si="5"/>
        <v/>
      </c>
      <c r="N40" s="25" t="str">
        <f>IF($A40="","",INDEX(Empleados!$J$2:$J$201,MATCH($A40,Empleados!$A$2:$A$201,0)))</f>
        <v/>
      </c>
    </row>
    <row r="41" spans="1:14" x14ac:dyDescent="0.45">
      <c r="A41" s="24" t="str">
        <f>IF(ROW()-4&lt;=COUNTA(Empleados!$A$2:$A$201),INDEX(Empleados!$A$2:$A$201,ROW()-4),"")</f>
        <v/>
      </c>
      <c r="B41" s="25" t="str">
        <f>IF($A41="","",INDEX(Empleados!$E$2:$E$201,MATCH($A41,Empleados!$A$2:$A$201,0)))</f>
        <v/>
      </c>
      <c r="C41" s="25" t="str">
        <f>IF($A41="","",INDEX(Empleados!$O$2:$O$201,MATCH($A41,Empleados!$A$2:$A$201,0)))</f>
        <v/>
      </c>
      <c r="D41" s="25" t="str">
        <f>IF($A41="","",INDEX(Empleados!$P$2:$P$201,MATCH($A41,Empleados!$A$2:$A$201,0)))</f>
        <v/>
      </c>
      <c r="E41" s="20" t="str">
        <f>IF($A41="","",IF($N41&lt;&gt;"ACTIVO",0,INDEX(Empleados!$M$2:$M$201,MATCH($A41,Empleados!$A$2:$A$201,0))))</f>
        <v/>
      </c>
      <c r="F41" s="20" t="str">
        <f>IF($A41="","",IF($N41&lt;&gt;"ACTIVO",0,INDEX(Empleados!$N$2:$N$201,MATCH($A41,Empleados!$A$2:$A$201,0))))</f>
        <v/>
      </c>
      <c r="G41" s="20" t="str">
        <f>IF($A41="","",IF($N41&lt;&gt;"ACTIVO",0,SUMIFS(Conceptos_Pago!$E$2:$E$100,Conceptos_Pago!$C$2:$C$100,"FIJO",Conceptos_Pago!$D$2:$D$100,"SI")))</f>
        <v/>
      </c>
      <c r="H41" s="20" t="str">
        <f>IF($A41="","",IF($N41&lt;&gt;"ACTIVO",0,SUMIFS(Movimientos!$F$2:$F$500,Movimientos!$A$2:$A$500,$B$2,Movimientos!$B$2:$B$500,$A41,Movimientos!$C$2:$C$500,"PAGO")))</f>
        <v/>
      </c>
      <c r="I41" s="20" t="str">
        <f t="shared" si="3"/>
        <v/>
      </c>
      <c r="J41" s="20" t="str">
        <f>IF($A41="","",IF($N41&lt;&gt;"ACTIVO",0,SUMIFS(Deducciones!$E$2:$E$100,Deducciones!$F$2:$F$100,"SI",Deducciones!$G$2:$G$100,"SI",Deducciones!$C$2:$C$100,"FIJO")+E41*SUMIFS(Deducciones!$E$2:$E$100,Deducciones!$F$2:$F$100,"SI",Deducciones!$G$2:$G$100,"SI",Deducciones!$C$2:$C$100,"PORCENTAJE",Deducciones!$D$2:$D$100,"SUELDO_BASE")+I41*SUMIFS(Deducciones!$E$2:$E$100,Deducciones!$F$2:$F$100,"SI",Deducciones!$G$2:$G$100,"SI",Deducciones!$C$2:$C$100,"PORCENTAJE",Deducciones!$D$2:$D$100,"TOTAL_PERCEPCIONES")))</f>
        <v/>
      </c>
      <c r="K41" s="20" t="str">
        <f>IF($A41="","",IF($N41&lt;&gt;"ACTIVO",0,SUMIFS(Movimientos!$F$2:$F$500,Movimientos!$A$2:$A$500,$B$2,Movimientos!$B$2:$B$500,$A41,Movimientos!$C$2:$C$500,"DEDUCCION")))</f>
        <v/>
      </c>
      <c r="L41" s="20" t="str">
        <f t="shared" si="4"/>
        <v/>
      </c>
      <c r="M41" s="20" t="str">
        <f t="shared" si="5"/>
        <v/>
      </c>
      <c r="N41" s="25" t="str">
        <f>IF($A41="","",INDEX(Empleados!$J$2:$J$201,MATCH($A41,Empleados!$A$2:$A$201,0)))</f>
        <v/>
      </c>
    </row>
    <row r="42" spans="1:14" x14ac:dyDescent="0.45">
      <c r="A42" s="24" t="str">
        <f>IF(ROW()-4&lt;=COUNTA(Empleados!$A$2:$A$201),INDEX(Empleados!$A$2:$A$201,ROW()-4),"")</f>
        <v/>
      </c>
      <c r="B42" s="25" t="str">
        <f>IF($A42="","",INDEX(Empleados!$E$2:$E$201,MATCH($A42,Empleados!$A$2:$A$201,0)))</f>
        <v/>
      </c>
      <c r="C42" s="25" t="str">
        <f>IF($A42="","",INDEX(Empleados!$O$2:$O$201,MATCH($A42,Empleados!$A$2:$A$201,0)))</f>
        <v/>
      </c>
      <c r="D42" s="25" t="str">
        <f>IF($A42="","",INDEX(Empleados!$P$2:$P$201,MATCH($A42,Empleados!$A$2:$A$201,0)))</f>
        <v/>
      </c>
      <c r="E42" s="20" t="str">
        <f>IF($A42="","",IF($N42&lt;&gt;"ACTIVO",0,INDEX(Empleados!$M$2:$M$201,MATCH($A42,Empleados!$A$2:$A$201,0))))</f>
        <v/>
      </c>
      <c r="F42" s="20" t="str">
        <f>IF($A42="","",IF($N42&lt;&gt;"ACTIVO",0,INDEX(Empleados!$N$2:$N$201,MATCH($A42,Empleados!$A$2:$A$201,0))))</f>
        <v/>
      </c>
      <c r="G42" s="20" t="str">
        <f>IF($A42="","",IF($N42&lt;&gt;"ACTIVO",0,SUMIFS(Conceptos_Pago!$E$2:$E$100,Conceptos_Pago!$C$2:$C$100,"FIJO",Conceptos_Pago!$D$2:$D$100,"SI")))</f>
        <v/>
      </c>
      <c r="H42" s="20" t="str">
        <f>IF($A42="","",IF($N42&lt;&gt;"ACTIVO",0,SUMIFS(Movimientos!$F$2:$F$500,Movimientos!$A$2:$A$500,$B$2,Movimientos!$B$2:$B$500,$A42,Movimientos!$C$2:$C$500,"PAGO")))</f>
        <v/>
      </c>
      <c r="I42" s="20" t="str">
        <f t="shared" si="3"/>
        <v/>
      </c>
      <c r="J42" s="20" t="str">
        <f>IF($A42="","",IF($N42&lt;&gt;"ACTIVO",0,SUMIFS(Deducciones!$E$2:$E$100,Deducciones!$F$2:$F$100,"SI",Deducciones!$G$2:$G$100,"SI",Deducciones!$C$2:$C$100,"FIJO")+E42*SUMIFS(Deducciones!$E$2:$E$100,Deducciones!$F$2:$F$100,"SI",Deducciones!$G$2:$G$100,"SI",Deducciones!$C$2:$C$100,"PORCENTAJE",Deducciones!$D$2:$D$100,"SUELDO_BASE")+I42*SUMIFS(Deducciones!$E$2:$E$100,Deducciones!$F$2:$F$100,"SI",Deducciones!$G$2:$G$100,"SI",Deducciones!$C$2:$C$100,"PORCENTAJE",Deducciones!$D$2:$D$100,"TOTAL_PERCEPCIONES")))</f>
        <v/>
      </c>
      <c r="K42" s="20" t="str">
        <f>IF($A42="","",IF($N42&lt;&gt;"ACTIVO",0,SUMIFS(Movimientos!$F$2:$F$500,Movimientos!$A$2:$A$500,$B$2,Movimientos!$B$2:$B$500,$A42,Movimientos!$C$2:$C$500,"DEDUCCION")))</f>
        <v/>
      </c>
      <c r="L42" s="20" t="str">
        <f t="shared" si="4"/>
        <v/>
      </c>
      <c r="M42" s="20" t="str">
        <f t="shared" si="5"/>
        <v/>
      </c>
      <c r="N42" s="25" t="str">
        <f>IF($A42="","",INDEX(Empleados!$J$2:$J$201,MATCH($A42,Empleados!$A$2:$A$201,0)))</f>
        <v/>
      </c>
    </row>
    <row r="43" spans="1:14" x14ac:dyDescent="0.45">
      <c r="A43" s="24" t="str">
        <f>IF(ROW()-4&lt;=COUNTA(Empleados!$A$2:$A$201),INDEX(Empleados!$A$2:$A$201,ROW()-4),"")</f>
        <v/>
      </c>
      <c r="B43" s="25" t="str">
        <f>IF($A43="","",INDEX(Empleados!$E$2:$E$201,MATCH($A43,Empleados!$A$2:$A$201,0)))</f>
        <v/>
      </c>
      <c r="C43" s="25" t="str">
        <f>IF($A43="","",INDEX(Empleados!$O$2:$O$201,MATCH($A43,Empleados!$A$2:$A$201,0)))</f>
        <v/>
      </c>
      <c r="D43" s="25" t="str">
        <f>IF($A43="","",INDEX(Empleados!$P$2:$P$201,MATCH($A43,Empleados!$A$2:$A$201,0)))</f>
        <v/>
      </c>
      <c r="E43" s="20" t="str">
        <f>IF($A43="","",IF($N43&lt;&gt;"ACTIVO",0,INDEX(Empleados!$M$2:$M$201,MATCH($A43,Empleados!$A$2:$A$201,0))))</f>
        <v/>
      </c>
      <c r="F43" s="20" t="str">
        <f>IF($A43="","",IF($N43&lt;&gt;"ACTIVO",0,INDEX(Empleados!$N$2:$N$201,MATCH($A43,Empleados!$A$2:$A$201,0))))</f>
        <v/>
      </c>
      <c r="G43" s="20" t="str">
        <f>IF($A43="","",IF($N43&lt;&gt;"ACTIVO",0,SUMIFS(Conceptos_Pago!$E$2:$E$100,Conceptos_Pago!$C$2:$C$100,"FIJO",Conceptos_Pago!$D$2:$D$100,"SI")))</f>
        <v/>
      </c>
      <c r="H43" s="20" t="str">
        <f>IF($A43="","",IF($N43&lt;&gt;"ACTIVO",0,SUMIFS(Movimientos!$F$2:$F$500,Movimientos!$A$2:$A$500,$B$2,Movimientos!$B$2:$B$500,$A43,Movimientos!$C$2:$C$500,"PAGO")))</f>
        <v/>
      </c>
      <c r="I43" s="20" t="str">
        <f t="shared" si="3"/>
        <v/>
      </c>
      <c r="J43" s="20" t="str">
        <f>IF($A43="","",IF($N43&lt;&gt;"ACTIVO",0,SUMIFS(Deducciones!$E$2:$E$100,Deducciones!$F$2:$F$100,"SI",Deducciones!$G$2:$G$100,"SI",Deducciones!$C$2:$C$100,"FIJO")+E43*SUMIFS(Deducciones!$E$2:$E$100,Deducciones!$F$2:$F$100,"SI",Deducciones!$G$2:$G$100,"SI",Deducciones!$C$2:$C$100,"PORCENTAJE",Deducciones!$D$2:$D$100,"SUELDO_BASE")+I43*SUMIFS(Deducciones!$E$2:$E$100,Deducciones!$F$2:$F$100,"SI",Deducciones!$G$2:$G$100,"SI",Deducciones!$C$2:$C$100,"PORCENTAJE",Deducciones!$D$2:$D$100,"TOTAL_PERCEPCIONES")))</f>
        <v/>
      </c>
      <c r="K43" s="20" t="str">
        <f>IF($A43="","",IF($N43&lt;&gt;"ACTIVO",0,SUMIFS(Movimientos!$F$2:$F$500,Movimientos!$A$2:$A$500,$B$2,Movimientos!$B$2:$B$500,$A43,Movimientos!$C$2:$C$500,"DEDUCCION")))</f>
        <v/>
      </c>
      <c r="L43" s="20" t="str">
        <f t="shared" si="4"/>
        <v/>
      </c>
      <c r="M43" s="20" t="str">
        <f t="shared" si="5"/>
        <v/>
      </c>
      <c r="N43" s="25" t="str">
        <f>IF($A43="","",INDEX(Empleados!$J$2:$J$201,MATCH($A43,Empleados!$A$2:$A$201,0)))</f>
        <v/>
      </c>
    </row>
    <row r="44" spans="1:14" x14ac:dyDescent="0.45">
      <c r="A44" s="24" t="str">
        <f>IF(ROW()-4&lt;=COUNTA(Empleados!$A$2:$A$201),INDEX(Empleados!$A$2:$A$201,ROW()-4),"")</f>
        <v/>
      </c>
      <c r="B44" s="25" t="str">
        <f>IF($A44="","",INDEX(Empleados!$E$2:$E$201,MATCH($A44,Empleados!$A$2:$A$201,0)))</f>
        <v/>
      </c>
      <c r="C44" s="25" t="str">
        <f>IF($A44="","",INDEX(Empleados!$O$2:$O$201,MATCH($A44,Empleados!$A$2:$A$201,0)))</f>
        <v/>
      </c>
      <c r="D44" s="25" t="str">
        <f>IF($A44="","",INDEX(Empleados!$P$2:$P$201,MATCH($A44,Empleados!$A$2:$A$201,0)))</f>
        <v/>
      </c>
      <c r="E44" s="20" t="str">
        <f>IF($A44="","",IF($N44&lt;&gt;"ACTIVO",0,INDEX(Empleados!$M$2:$M$201,MATCH($A44,Empleados!$A$2:$A$201,0))))</f>
        <v/>
      </c>
      <c r="F44" s="20" t="str">
        <f>IF($A44="","",IF($N44&lt;&gt;"ACTIVO",0,INDEX(Empleados!$N$2:$N$201,MATCH($A44,Empleados!$A$2:$A$201,0))))</f>
        <v/>
      </c>
      <c r="G44" s="20" t="str">
        <f>IF($A44="","",IF($N44&lt;&gt;"ACTIVO",0,SUMIFS(Conceptos_Pago!$E$2:$E$100,Conceptos_Pago!$C$2:$C$100,"FIJO",Conceptos_Pago!$D$2:$D$100,"SI")))</f>
        <v/>
      </c>
      <c r="H44" s="20" t="str">
        <f>IF($A44="","",IF($N44&lt;&gt;"ACTIVO",0,SUMIFS(Movimientos!$F$2:$F$500,Movimientos!$A$2:$A$500,$B$2,Movimientos!$B$2:$B$500,$A44,Movimientos!$C$2:$C$500,"PAGO")))</f>
        <v/>
      </c>
      <c r="I44" s="20" t="str">
        <f t="shared" si="3"/>
        <v/>
      </c>
      <c r="J44" s="20" t="str">
        <f>IF($A44="","",IF($N44&lt;&gt;"ACTIVO",0,SUMIFS(Deducciones!$E$2:$E$100,Deducciones!$F$2:$F$100,"SI",Deducciones!$G$2:$G$100,"SI",Deducciones!$C$2:$C$100,"FIJO")+E44*SUMIFS(Deducciones!$E$2:$E$100,Deducciones!$F$2:$F$100,"SI",Deducciones!$G$2:$G$100,"SI",Deducciones!$C$2:$C$100,"PORCENTAJE",Deducciones!$D$2:$D$100,"SUELDO_BASE")+I44*SUMIFS(Deducciones!$E$2:$E$100,Deducciones!$F$2:$F$100,"SI",Deducciones!$G$2:$G$100,"SI",Deducciones!$C$2:$C$100,"PORCENTAJE",Deducciones!$D$2:$D$100,"TOTAL_PERCEPCIONES")))</f>
        <v/>
      </c>
      <c r="K44" s="20" t="str">
        <f>IF($A44="","",IF($N44&lt;&gt;"ACTIVO",0,SUMIFS(Movimientos!$F$2:$F$500,Movimientos!$A$2:$A$500,$B$2,Movimientos!$B$2:$B$500,$A44,Movimientos!$C$2:$C$500,"DEDUCCION")))</f>
        <v/>
      </c>
      <c r="L44" s="20" t="str">
        <f t="shared" si="4"/>
        <v/>
      </c>
      <c r="M44" s="20" t="str">
        <f t="shared" si="5"/>
        <v/>
      </c>
      <c r="N44" s="25" t="str">
        <f>IF($A44="","",INDEX(Empleados!$J$2:$J$201,MATCH($A44,Empleados!$A$2:$A$201,0)))</f>
        <v/>
      </c>
    </row>
    <row r="45" spans="1:14" x14ac:dyDescent="0.45">
      <c r="A45" s="24" t="str">
        <f>IF(ROW()-4&lt;=COUNTA(Empleados!$A$2:$A$201),INDEX(Empleados!$A$2:$A$201,ROW()-4),"")</f>
        <v/>
      </c>
      <c r="B45" s="25" t="str">
        <f>IF($A45="","",INDEX(Empleados!$E$2:$E$201,MATCH($A45,Empleados!$A$2:$A$201,0)))</f>
        <v/>
      </c>
      <c r="C45" s="25" t="str">
        <f>IF($A45="","",INDEX(Empleados!$O$2:$O$201,MATCH($A45,Empleados!$A$2:$A$201,0)))</f>
        <v/>
      </c>
      <c r="D45" s="25" t="str">
        <f>IF($A45="","",INDEX(Empleados!$P$2:$P$201,MATCH($A45,Empleados!$A$2:$A$201,0)))</f>
        <v/>
      </c>
      <c r="E45" s="20" t="str">
        <f>IF($A45="","",IF($N45&lt;&gt;"ACTIVO",0,INDEX(Empleados!$M$2:$M$201,MATCH($A45,Empleados!$A$2:$A$201,0))))</f>
        <v/>
      </c>
      <c r="F45" s="20" t="str">
        <f>IF($A45="","",IF($N45&lt;&gt;"ACTIVO",0,INDEX(Empleados!$N$2:$N$201,MATCH($A45,Empleados!$A$2:$A$201,0))))</f>
        <v/>
      </c>
      <c r="G45" s="20" t="str">
        <f>IF($A45="","",IF($N45&lt;&gt;"ACTIVO",0,SUMIFS(Conceptos_Pago!$E$2:$E$100,Conceptos_Pago!$C$2:$C$100,"FIJO",Conceptos_Pago!$D$2:$D$100,"SI")))</f>
        <v/>
      </c>
      <c r="H45" s="20" t="str">
        <f>IF($A45="","",IF($N45&lt;&gt;"ACTIVO",0,SUMIFS(Movimientos!$F$2:$F$500,Movimientos!$A$2:$A$500,$B$2,Movimientos!$B$2:$B$500,$A45,Movimientos!$C$2:$C$500,"PAGO")))</f>
        <v/>
      </c>
      <c r="I45" s="20" t="str">
        <f t="shared" si="3"/>
        <v/>
      </c>
      <c r="J45" s="20" t="str">
        <f>IF($A45="","",IF($N45&lt;&gt;"ACTIVO",0,SUMIFS(Deducciones!$E$2:$E$100,Deducciones!$F$2:$F$100,"SI",Deducciones!$G$2:$G$100,"SI",Deducciones!$C$2:$C$100,"FIJO")+E45*SUMIFS(Deducciones!$E$2:$E$100,Deducciones!$F$2:$F$100,"SI",Deducciones!$G$2:$G$100,"SI",Deducciones!$C$2:$C$100,"PORCENTAJE",Deducciones!$D$2:$D$100,"SUELDO_BASE")+I45*SUMIFS(Deducciones!$E$2:$E$100,Deducciones!$F$2:$F$100,"SI",Deducciones!$G$2:$G$100,"SI",Deducciones!$C$2:$C$100,"PORCENTAJE",Deducciones!$D$2:$D$100,"TOTAL_PERCEPCIONES")))</f>
        <v/>
      </c>
      <c r="K45" s="20" t="str">
        <f>IF($A45="","",IF($N45&lt;&gt;"ACTIVO",0,SUMIFS(Movimientos!$F$2:$F$500,Movimientos!$A$2:$A$500,$B$2,Movimientos!$B$2:$B$500,$A45,Movimientos!$C$2:$C$500,"DEDUCCION")))</f>
        <v/>
      </c>
      <c r="L45" s="20" t="str">
        <f t="shared" si="4"/>
        <v/>
      </c>
      <c r="M45" s="20" t="str">
        <f t="shared" si="5"/>
        <v/>
      </c>
      <c r="N45" s="25" t="str">
        <f>IF($A45="","",INDEX(Empleados!$J$2:$J$201,MATCH($A45,Empleados!$A$2:$A$201,0)))</f>
        <v/>
      </c>
    </row>
    <row r="46" spans="1:14" x14ac:dyDescent="0.45">
      <c r="A46" s="24" t="str">
        <f>IF(ROW()-4&lt;=COUNTA(Empleados!$A$2:$A$201),INDEX(Empleados!$A$2:$A$201,ROW()-4),"")</f>
        <v/>
      </c>
      <c r="B46" s="25" t="str">
        <f>IF($A46="","",INDEX(Empleados!$E$2:$E$201,MATCH($A46,Empleados!$A$2:$A$201,0)))</f>
        <v/>
      </c>
      <c r="C46" s="25" t="str">
        <f>IF($A46="","",INDEX(Empleados!$O$2:$O$201,MATCH($A46,Empleados!$A$2:$A$201,0)))</f>
        <v/>
      </c>
      <c r="D46" s="25" t="str">
        <f>IF($A46="","",INDEX(Empleados!$P$2:$P$201,MATCH($A46,Empleados!$A$2:$A$201,0)))</f>
        <v/>
      </c>
      <c r="E46" s="20" t="str">
        <f>IF($A46="","",IF($N46&lt;&gt;"ACTIVO",0,INDEX(Empleados!$M$2:$M$201,MATCH($A46,Empleados!$A$2:$A$201,0))))</f>
        <v/>
      </c>
      <c r="F46" s="20" t="str">
        <f>IF($A46="","",IF($N46&lt;&gt;"ACTIVO",0,INDEX(Empleados!$N$2:$N$201,MATCH($A46,Empleados!$A$2:$A$201,0))))</f>
        <v/>
      </c>
      <c r="G46" s="20" t="str">
        <f>IF($A46="","",IF($N46&lt;&gt;"ACTIVO",0,SUMIFS(Conceptos_Pago!$E$2:$E$100,Conceptos_Pago!$C$2:$C$100,"FIJO",Conceptos_Pago!$D$2:$D$100,"SI")))</f>
        <v/>
      </c>
      <c r="H46" s="20" t="str">
        <f>IF($A46="","",IF($N46&lt;&gt;"ACTIVO",0,SUMIFS(Movimientos!$F$2:$F$500,Movimientos!$A$2:$A$500,$B$2,Movimientos!$B$2:$B$500,$A46,Movimientos!$C$2:$C$500,"PAGO")))</f>
        <v/>
      </c>
      <c r="I46" s="20" t="str">
        <f t="shared" si="3"/>
        <v/>
      </c>
      <c r="J46" s="20" t="str">
        <f>IF($A46="","",IF($N46&lt;&gt;"ACTIVO",0,SUMIFS(Deducciones!$E$2:$E$100,Deducciones!$F$2:$F$100,"SI",Deducciones!$G$2:$G$100,"SI",Deducciones!$C$2:$C$100,"FIJO")+E46*SUMIFS(Deducciones!$E$2:$E$100,Deducciones!$F$2:$F$100,"SI",Deducciones!$G$2:$G$100,"SI",Deducciones!$C$2:$C$100,"PORCENTAJE",Deducciones!$D$2:$D$100,"SUELDO_BASE")+I46*SUMIFS(Deducciones!$E$2:$E$100,Deducciones!$F$2:$F$100,"SI",Deducciones!$G$2:$G$100,"SI",Deducciones!$C$2:$C$100,"PORCENTAJE",Deducciones!$D$2:$D$100,"TOTAL_PERCEPCIONES")))</f>
        <v/>
      </c>
      <c r="K46" s="20" t="str">
        <f>IF($A46="","",IF($N46&lt;&gt;"ACTIVO",0,SUMIFS(Movimientos!$F$2:$F$500,Movimientos!$A$2:$A$500,$B$2,Movimientos!$B$2:$B$500,$A46,Movimientos!$C$2:$C$500,"DEDUCCION")))</f>
        <v/>
      </c>
      <c r="L46" s="20" t="str">
        <f t="shared" si="4"/>
        <v/>
      </c>
      <c r="M46" s="20" t="str">
        <f t="shared" si="5"/>
        <v/>
      </c>
      <c r="N46" s="25" t="str">
        <f>IF($A46="","",INDEX(Empleados!$J$2:$J$201,MATCH($A46,Empleados!$A$2:$A$201,0)))</f>
        <v/>
      </c>
    </row>
    <row r="47" spans="1:14" x14ac:dyDescent="0.45">
      <c r="A47" s="24" t="str">
        <f>IF(ROW()-4&lt;=COUNTA(Empleados!$A$2:$A$201),INDEX(Empleados!$A$2:$A$201,ROW()-4),"")</f>
        <v/>
      </c>
      <c r="B47" s="25" t="str">
        <f>IF($A47="","",INDEX(Empleados!$E$2:$E$201,MATCH($A47,Empleados!$A$2:$A$201,0)))</f>
        <v/>
      </c>
      <c r="C47" s="25" t="str">
        <f>IF($A47="","",INDEX(Empleados!$O$2:$O$201,MATCH($A47,Empleados!$A$2:$A$201,0)))</f>
        <v/>
      </c>
      <c r="D47" s="25" t="str">
        <f>IF($A47="","",INDEX(Empleados!$P$2:$P$201,MATCH($A47,Empleados!$A$2:$A$201,0)))</f>
        <v/>
      </c>
      <c r="E47" s="20" t="str">
        <f>IF($A47="","",IF($N47&lt;&gt;"ACTIVO",0,INDEX(Empleados!$M$2:$M$201,MATCH($A47,Empleados!$A$2:$A$201,0))))</f>
        <v/>
      </c>
      <c r="F47" s="20" t="str">
        <f>IF($A47="","",IF($N47&lt;&gt;"ACTIVO",0,INDEX(Empleados!$N$2:$N$201,MATCH($A47,Empleados!$A$2:$A$201,0))))</f>
        <v/>
      </c>
      <c r="G47" s="20" t="str">
        <f>IF($A47="","",IF($N47&lt;&gt;"ACTIVO",0,SUMIFS(Conceptos_Pago!$E$2:$E$100,Conceptos_Pago!$C$2:$C$100,"FIJO",Conceptos_Pago!$D$2:$D$100,"SI")))</f>
        <v/>
      </c>
      <c r="H47" s="20" t="str">
        <f>IF($A47="","",IF($N47&lt;&gt;"ACTIVO",0,SUMIFS(Movimientos!$F$2:$F$500,Movimientos!$A$2:$A$500,$B$2,Movimientos!$B$2:$B$500,$A47,Movimientos!$C$2:$C$500,"PAGO")))</f>
        <v/>
      </c>
      <c r="I47" s="20" t="str">
        <f t="shared" si="3"/>
        <v/>
      </c>
      <c r="J47" s="20" t="str">
        <f>IF($A47="","",IF($N47&lt;&gt;"ACTIVO",0,SUMIFS(Deducciones!$E$2:$E$100,Deducciones!$F$2:$F$100,"SI",Deducciones!$G$2:$G$100,"SI",Deducciones!$C$2:$C$100,"FIJO")+E47*SUMIFS(Deducciones!$E$2:$E$100,Deducciones!$F$2:$F$100,"SI",Deducciones!$G$2:$G$100,"SI",Deducciones!$C$2:$C$100,"PORCENTAJE",Deducciones!$D$2:$D$100,"SUELDO_BASE")+I47*SUMIFS(Deducciones!$E$2:$E$100,Deducciones!$F$2:$F$100,"SI",Deducciones!$G$2:$G$100,"SI",Deducciones!$C$2:$C$100,"PORCENTAJE",Deducciones!$D$2:$D$100,"TOTAL_PERCEPCIONES")))</f>
        <v/>
      </c>
      <c r="K47" s="20" t="str">
        <f>IF($A47="","",IF($N47&lt;&gt;"ACTIVO",0,SUMIFS(Movimientos!$F$2:$F$500,Movimientos!$A$2:$A$500,$B$2,Movimientos!$B$2:$B$500,$A47,Movimientos!$C$2:$C$500,"DEDUCCION")))</f>
        <v/>
      </c>
      <c r="L47" s="20" t="str">
        <f t="shared" si="4"/>
        <v/>
      </c>
      <c r="M47" s="20" t="str">
        <f t="shared" si="5"/>
        <v/>
      </c>
      <c r="N47" s="25" t="str">
        <f>IF($A47="","",INDEX(Empleados!$J$2:$J$201,MATCH($A47,Empleados!$A$2:$A$201,0)))</f>
        <v/>
      </c>
    </row>
    <row r="48" spans="1:14" x14ac:dyDescent="0.45">
      <c r="A48" s="24" t="str">
        <f>IF(ROW()-4&lt;=COUNTA(Empleados!$A$2:$A$201),INDEX(Empleados!$A$2:$A$201,ROW()-4),"")</f>
        <v/>
      </c>
      <c r="B48" s="25" t="str">
        <f>IF($A48="","",INDEX(Empleados!$E$2:$E$201,MATCH($A48,Empleados!$A$2:$A$201,0)))</f>
        <v/>
      </c>
      <c r="C48" s="25" t="str">
        <f>IF($A48="","",INDEX(Empleados!$O$2:$O$201,MATCH($A48,Empleados!$A$2:$A$201,0)))</f>
        <v/>
      </c>
      <c r="D48" s="25" t="str">
        <f>IF($A48="","",INDEX(Empleados!$P$2:$P$201,MATCH($A48,Empleados!$A$2:$A$201,0)))</f>
        <v/>
      </c>
      <c r="E48" s="20" t="str">
        <f>IF($A48="","",IF($N48&lt;&gt;"ACTIVO",0,INDEX(Empleados!$M$2:$M$201,MATCH($A48,Empleados!$A$2:$A$201,0))))</f>
        <v/>
      </c>
      <c r="F48" s="20" t="str">
        <f>IF($A48="","",IF($N48&lt;&gt;"ACTIVO",0,INDEX(Empleados!$N$2:$N$201,MATCH($A48,Empleados!$A$2:$A$201,0))))</f>
        <v/>
      </c>
      <c r="G48" s="20" t="str">
        <f>IF($A48="","",IF($N48&lt;&gt;"ACTIVO",0,SUMIFS(Conceptos_Pago!$E$2:$E$100,Conceptos_Pago!$C$2:$C$100,"FIJO",Conceptos_Pago!$D$2:$D$100,"SI")))</f>
        <v/>
      </c>
      <c r="H48" s="20" t="str">
        <f>IF($A48="","",IF($N48&lt;&gt;"ACTIVO",0,SUMIFS(Movimientos!$F$2:$F$500,Movimientos!$A$2:$A$500,$B$2,Movimientos!$B$2:$B$500,$A48,Movimientos!$C$2:$C$500,"PAGO")))</f>
        <v/>
      </c>
      <c r="I48" s="20" t="str">
        <f t="shared" si="3"/>
        <v/>
      </c>
      <c r="J48" s="20" t="str">
        <f>IF($A48="","",IF($N48&lt;&gt;"ACTIVO",0,SUMIFS(Deducciones!$E$2:$E$100,Deducciones!$F$2:$F$100,"SI",Deducciones!$G$2:$G$100,"SI",Deducciones!$C$2:$C$100,"FIJO")+E48*SUMIFS(Deducciones!$E$2:$E$100,Deducciones!$F$2:$F$100,"SI",Deducciones!$G$2:$G$100,"SI",Deducciones!$C$2:$C$100,"PORCENTAJE",Deducciones!$D$2:$D$100,"SUELDO_BASE")+I48*SUMIFS(Deducciones!$E$2:$E$100,Deducciones!$F$2:$F$100,"SI",Deducciones!$G$2:$G$100,"SI",Deducciones!$C$2:$C$100,"PORCENTAJE",Deducciones!$D$2:$D$100,"TOTAL_PERCEPCIONES")))</f>
        <v/>
      </c>
      <c r="K48" s="20" t="str">
        <f>IF($A48="","",IF($N48&lt;&gt;"ACTIVO",0,SUMIFS(Movimientos!$F$2:$F$500,Movimientos!$A$2:$A$500,$B$2,Movimientos!$B$2:$B$500,$A48,Movimientos!$C$2:$C$500,"DEDUCCION")))</f>
        <v/>
      </c>
      <c r="L48" s="20" t="str">
        <f t="shared" si="4"/>
        <v/>
      </c>
      <c r="M48" s="20" t="str">
        <f t="shared" si="5"/>
        <v/>
      </c>
      <c r="N48" s="25" t="str">
        <f>IF($A48="","",INDEX(Empleados!$J$2:$J$201,MATCH($A48,Empleados!$A$2:$A$201,0)))</f>
        <v/>
      </c>
    </row>
    <row r="49" spans="1:14" x14ac:dyDescent="0.45">
      <c r="A49" s="24" t="str">
        <f>IF(ROW()-4&lt;=COUNTA(Empleados!$A$2:$A$201),INDEX(Empleados!$A$2:$A$201,ROW()-4),"")</f>
        <v/>
      </c>
      <c r="B49" s="25" t="str">
        <f>IF($A49="","",INDEX(Empleados!$E$2:$E$201,MATCH($A49,Empleados!$A$2:$A$201,0)))</f>
        <v/>
      </c>
      <c r="C49" s="25" t="str">
        <f>IF($A49="","",INDEX(Empleados!$O$2:$O$201,MATCH($A49,Empleados!$A$2:$A$201,0)))</f>
        <v/>
      </c>
      <c r="D49" s="25" t="str">
        <f>IF($A49="","",INDEX(Empleados!$P$2:$P$201,MATCH($A49,Empleados!$A$2:$A$201,0)))</f>
        <v/>
      </c>
      <c r="E49" s="20" t="str">
        <f>IF($A49="","",IF($N49&lt;&gt;"ACTIVO",0,INDEX(Empleados!$M$2:$M$201,MATCH($A49,Empleados!$A$2:$A$201,0))))</f>
        <v/>
      </c>
      <c r="F49" s="20" t="str">
        <f>IF($A49="","",IF($N49&lt;&gt;"ACTIVO",0,INDEX(Empleados!$N$2:$N$201,MATCH($A49,Empleados!$A$2:$A$201,0))))</f>
        <v/>
      </c>
      <c r="G49" s="20" t="str">
        <f>IF($A49="","",IF($N49&lt;&gt;"ACTIVO",0,SUMIFS(Conceptos_Pago!$E$2:$E$100,Conceptos_Pago!$C$2:$C$100,"FIJO",Conceptos_Pago!$D$2:$D$100,"SI")))</f>
        <v/>
      </c>
      <c r="H49" s="20" t="str">
        <f>IF($A49="","",IF($N49&lt;&gt;"ACTIVO",0,SUMIFS(Movimientos!$F$2:$F$500,Movimientos!$A$2:$A$500,$B$2,Movimientos!$B$2:$B$500,$A49,Movimientos!$C$2:$C$500,"PAGO")))</f>
        <v/>
      </c>
      <c r="I49" s="20" t="str">
        <f t="shared" si="3"/>
        <v/>
      </c>
      <c r="J49" s="20" t="str">
        <f>IF($A49="","",IF($N49&lt;&gt;"ACTIVO",0,SUMIFS(Deducciones!$E$2:$E$100,Deducciones!$F$2:$F$100,"SI",Deducciones!$G$2:$G$100,"SI",Deducciones!$C$2:$C$100,"FIJO")+E49*SUMIFS(Deducciones!$E$2:$E$100,Deducciones!$F$2:$F$100,"SI",Deducciones!$G$2:$G$100,"SI",Deducciones!$C$2:$C$100,"PORCENTAJE",Deducciones!$D$2:$D$100,"SUELDO_BASE")+I49*SUMIFS(Deducciones!$E$2:$E$100,Deducciones!$F$2:$F$100,"SI",Deducciones!$G$2:$G$100,"SI",Deducciones!$C$2:$C$100,"PORCENTAJE",Deducciones!$D$2:$D$100,"TOTAL_PERCEPCIONES")))</f>
        <v/>
      </c>
      <c r="K49" s="20" t="str">
        <f>IF($A49="","",IF($N49&lt;&gt;"ACTIVO",0,SUMIFS(Movimientos!$F$2:$F$500,Movimientos!$A$2:$A$500,$B$2,Movimientos!$B$2:$B$500,$A49,Movimientos!$C$2:$C$500,"DEDUCCION")))</f>
        <v/>
      </c>
      <c r="L49" s="20" t="str">
        <f t="shared" si="4"/>
        <v/>
      </c>
      <c r="M49" s="20" t="str">
        <f t="shared" si="5"/>
        <v/>
      </c>
      <c r="N49" s="25" t="str">
        <f>IF($A49="","",INDEX(Empleados!$J$2:$J$201,MATCH($A49,Empleados!$A$2:$A$201,0)))</f>
        <v/>
      </c>
    </row>
    <row r="50" spans="1:14" x14ac:dyDescent="0.45">
      <c r="A50" s="24" t="str">
        <f>IF(ROW()-4&lt;=COUNTA(Empleados!$A$2:$A$201),INDEX(Empleados!$A$2:$A$201,ROW()-4),"")</f>
        <v/>
      </c>
      <c r="B50" s="25" t="str">
        <f>IF($A50="","",INDEX(Empleados!$E$2:$E$201,MATCH($A50,Empleados!$A$2:$A$201,0)))</f>
        <v/>
      </c>
      <c r="C50" s="25" t="str">
        <f>IF($A50="","",INDEX(Empleados!$O$2:$O$201,MATCH($A50,Empleados!$A$2:$A$201,0)))</f>
        <v/>
      </c>
      <c r="D50" s="25" t="str">
        <f>IF($A50="","",INDEX(Empleados!$P$2:$P$201,MATCH($A50,Empleados!$A$2:$A$201,0)))</f>
        <v/>
      </c>
      <c r="E50" s="20" t="str">
        <f>IF($A50="","",IF($N50&lt;&gt;"ACTIVO",0,INDEX(Empleados!$M$2:$M$201,MATCH($A50,Empleados!$A$2:$A$201,0))))</f>
        <v/>
      </c>
      <c r="F50" s="20" t="str">
        <f>IF($A50="","",IF($N50&lt;&gt;"ACTIVO",0,INDEX(Empleados!$N$2:$N$201,MATCH($A50,Empleados!$A$2:$A$201,0))))</f>
        <v/>
      </c>
      <c r="G50" s="20" t="str">
        <f>IF($A50="","",IF($N50&lt;&gt;"ACTIVO",0,SUMIFS(Conceptos_Pago!$E$2:$E$100,Conceptos_Pago!$C$2:$C$100,"FIJO",Conceptos_Pago!$D$2:$D$100,"SI")))</f>
        <v/>
      </c>
      <c r="H50" s="20" t="str">
        <f>IF($A50="","",IF($N50&lt;&gt;"ACTIVO",0,SUMIFS(Movimientos!$F$2:$F$500,Movimientos!$A$2:$A$500,$B$2,Movimientos!$B$2:$B$500,$A50,Movimientos!$C$2:$C$500,"PAGO")))</f>
        <v/>
      </c>
      <c r="I50" s="20" t="str">
        <f t="shared" si="3"/>
        <v/>
      </c>
      <c r="J50" s="20" t="str">
        <f>IF($A50="","",IF($N50&lt;&gt;"ACTIVO",0,SUMIFS(Deducciones!$E$2:$E$100,Deducciones!$F$2:$F$100,"SI",Deducciones!$G$2:$G$100,"SI",Deducciones!$C$2:$C$100,"FIJO")+E50*SUMIFS(Deducciones!$E$2:$E$100,Deducciones!$F$2:$F$100,"SI",Deducciones!$G$2:$G$100,"SI",Deducciones!$C$2:$C$100,"PORCENTAJE",Deducciones!$D$2:$D$100,"SUELDO_BASE")+I50*SUMIFS(Deducciones!$E$2:$E$100,Deducciones!$F$2:$F$100,"SI",Deducciones!$G$2:$G$100,"SI",Deducciones!$C$2:$C$100,"PORCENTAJE",Deducciones!$D$2:$D$100,"TOTAL_PERCEPCIONES")))</f>
        <v/>
      </c>
      <c r="K50" s="20" t="str">
        <f>IF($A50="","",IF($N50&lt;&gt;"ACTIVO",0,SUMIFS(Movimientos!$F$2:$F$500,Movimientos!$A$2:$A$500,$B$2,Movimientos!$B$2:$B$500,$A50,Movimientos!$C$2:$C$500,"DEDUCCION")))</f>
        <v/>
      </c>
      <c r="L50" s="20" t="str">
        <f t="shared" si="4"/>
        <v/>
      </c>
      <c r="M50" s="20" t="str">
        <f t="shared" si="5"/>
        <v/>
      </c>
      <c r="N50" s="25" t="str">
        <f>IF($A50="","",INDEX(Empleados!$J$2:$J$201,MATCH($A50,Empleados!$A$2:$A$201,0)))</f>
        <v/>
      </c>
    </row>
    <row r="51" spans="1:14" x14ac:dyDescent="0.45">
      <c r="A51" s="24" t="str">
        <f>IF(ROW()-4&lt;=COUNTA(Empleados!$A$2:$A$201),INDEX(Empleados!$A$2:$A$201,ROW()-4),"")</f>
        <v/>
      </c>
      <c r="B51" s="25" t="str">
        <f>IF($A51="","",INDEX(Empleados!$E$2:$E$201,MATCH($A51,Empleados!$A$2:$A$201,0)))</f>
        <v/>
      </c>
      <c r="C51" s="25" t="str">
        <f>IF($A51="","",INDEX(Empleados!$O$2:$O$201,MATCH($A51,Empleados!$A$2:$A$201,0)))</f>
        <v/>
      </c>
      <c r="D51" s="25" t="str">
        <f>IF($A51="","",INDEX(Empleados!$P$2:$P$201,MATCH($A51,Empleados!$A$2:$A$201,0)))</f>
        <v/>
      </c>
      <c r="E51" s="20" t="str">
        <f>IF($A51="","",IF($N51&lt;&gt;"ACTIVO",0,INDEX(Empleados!$M$2:$M$201,MATCH($A51,Empleados!$A$2:$A$201,0))))</f>
        <v/>
      </c>
      <c r="F51" s="20" t="str">
        <f>IF($A51="","",IF($N51&lt;&gt;"ACTIVO",0,INDEX(Empleados!$N$2:$N$201,MATCH($A51,Empleados!$A$2:$A$201,0))))</f>
        <v/>
      </c>
      <c r="G51" s="20" t="str">
        <f>IF($A51="","",IF($N51&lt;&gt;"ACTIVO",0,SUMIFS(Conceptos_Pago!$E$2:$E$100,Conceptos_Pago!$C$2:$C$100,"FIJO",Conceptos_Pago!$D$2:$D$100,"SI")))</f>
        <v/>
      </c>
      <c r="H51" s="20" t="str">
        <f>IF($A51="","",IF($N51&lt;&gt;"ACTIVO",0,SUMIFS(Movimientos!$F$2:$F$500,Movimientos!$A$2:$A$500,$B$2,Movimientos!$B$2:$B$500,$A51,Movimientos!$C$2:$C$500,"PAGO")))</f>
        <v/>
      </c>
      <c r="I51" s="20" t="str">
        <f t="shared" si="3"/>
        <v/>
      </c>
      <c r="J51" s="20" t="str">
        <f>IF($A51="","",IF($N51&lt;&gt;"ACTIVO",0,SUMIFS(Deducciones!$E$2:$E$100,Deducciones!$F$2:$F$100,"SI",Deducciones!$G$2:$G$100,"SI",Deducciones!$C$2:$C$100,"FIJO")+E51*SUMIFS(Deducciones!$E$2:$E$100,Deducciones!$F$2:$F$100,"SI",Deducciones!$G$2:$G$100,"SI",Deducciones!$C$2:$C$100,"PORCENTAJE",Deducciones!$D$2:$D$100,"SUELDO_BASE")+I51*SUMIFS(Deducciones!$E$2:$E$100,Deducciones!$F$2:$F$100,"SI",Deducciones!$G$2:$G$100,"SI",Deducciones!$C$2:$C$100,"PORCENTAJE",Deducciones!$D$2:$D$100,"TOTAL_PERCEPCIONES")))</f>
        <v/>
      </c>
      <c r="K51" s="20" t="str">
        <f>IF($A51="","",IF($N51&lt;&gt;"ACTIVO",0,SUMIFS(Movimientos!$F$2:$F$500,Movimientos!$A$2:$A$500,$B$2,Movimientos!$B$2:$B$500,$A51,Movimientos!$C$2:$C$500,"DEDUCCION")))</f>
        <v/>
      </c>
      <c r="L51" s="20" t="str">
        <f t="shared" si="4"/>
        <v/>
      </c>
      <c r="M51" s="20" t="str">
        <f t="shared" si="5"/>
        <v/>
      </c>
      <c r="N51" s="25" t="str">
        <f>IF($A51="","",INDEX(Empleados!$J$2:$J$201,MATCH($A51,Empleados!$A$2:$A$201,0)))</f>
        <v/>
      </c>
    </row>
    <row r="52" spans="1:14" x14ac:dyDescent="0.45">
      <c r="A52" s="24" t="str">
        <f>IF(ROW()-4&lt;=COUNTA(Empleados!$A$2:$A$201),INDEX(Empleados!$A$2:$A$201,ROW()-4),"")</f>
        <v/>
      </c>
      <c r="B52" s="25" t="str">
        <f>IF($A52="","",INDEX(Empleados!$E$2:$E$201,MATCH($A52,Empleados!$A$2:$A$201,0)))</f>
        <v/>
      </c>
      <c r="C52" s="25" t="str">
        <f>IF($A52="","",INDEX(Empleados!$O$2:$O$201,MATCH($A52,Empleados!$A$2:$A$201,0)))</f>
        <v/>
      </c>
      <c r="D52" s="25" t="str">
        <f>IF($A52="","",INDEX(Empleados!$P$2:$P$201,MATCH($A52,Empleados!$A$2:$A$201,0)))</f>
        <v/>
      </c>
      <c r="E52" s="20" t="str">
        <f>IF($A52="","",IF($N52&lt;&gt;"ACTIVO",0,INDEX(Empleados!$M$2:$M$201,MATCH($A52,Empleados!$A$2:$A$201,0))))</f>
        <v/>
      </c>
      <c r="F52" s="20" t="str">
        <f>IF($A52="","",IF($N52&lt;&gt;"ACTIVO",0,INDEX(Empleados!$N$2:$N$201,MATCH($A52,Empleados!$A$2:$A$201,0))))</f>
        <v/>
      </c>
      <c r="G52" s="20" t="str">
        <f>IF($A52="","",IF($N52&lt;&gt;"ACTIVO",0,SUMIFS(Conceptos_Pago!$E$2:$E$100,Conceptos_Pago!$C$2:$C$100,"FIJO",Conceptos_Pago!$D$2:$D$100,"SI")))</f>
        <v/>
      </c>
      <c r="H52" s="20" t="str">
        <f>IF($A52="","",IF($N52&lt;&gt;"ACTIVO",0,SUMIFS(Movimientos!$F$2:$F$500,Movimientos!$A$2:$A$500,$B$2,Movimientos!$B$2:$B$500,$A52,Movimientos!$C$2:$C$500,"PAGO")))</f>
        <v/>
      </c>
      <c r="I52" s="20" t="str">
        <f t="shared" si="3"/>
        <v/>
      </c>
      <c r="J52" s="20" t="str">
        <f>IF($A52="","",IF($N52&lt;&gt;"ACTIVO",0,SUMIFS(Deducciones!$E$2:$E$100,Deducciones!$F$2:$F$100,"SI",Deducciones!$G$2:$G$100,"SI",Deducciones!$C$2:$C$100,"FIJO")+E52*SUMIFS(Deducciones!$E$2:$E$100,Deducciones!$F$2:$F$100,"SI",Deducciones!$G$2:$G$100,"SI",Deducciones!$C$2:$C$100,"PORCENTAJE",Deducciones!$D$2:$D$100,"SUELDO_BASE")+I52*SUMIFS(Deducciones!$E$2:$E$100,Deducciones!$F$2:$F$100,"SI",Deducciones!$G$2:$G$100,"SI",Deducciones!$C$2:$C$100,"PORCENTAJE",Deducciones!$D$2:$D$100,"TOTAL_PERCEPCIONES")))</f>
        <v/>
      </c>
      <c r="K52" s="20" t="str">
        <f>IF($A52="","",IF($N52&lt;&gt;"ACTIVO",0,SUMIFS(Movimientos!$F$2:$F$500,Movimientos!$A$2:$A$500,$B$2,Movimientos!$B$2:$B$500,$A52,Movimientos!$C$2:$C$500,"DEDUCCION")))</f>
        <v/>
      </c>
      <c r="L52" s="20" t="str">
        <f t="shared" si="4"/>
        <v/>
      </c>
      <c r="M52" s="20" t="str">
        <f t="shared" si="5"/>
        <v/>
      </c>
      <c r="N52" s="25" t="str">
        <f>IF($A52="","",INDEX(Empleados!$J$2:$J$201,MATCH($A52,Empleados!$A$2:$A$201,0)))</f>
        <v/>
      </c>
    </row>
    <row r="53" spans="1:14" x14ac:dyDescent="0.45">
      <c r="A53" s="24" t="str">
        <f>IF(ROW()-4&lt;=COUNTA(Empleados!$A$2:$A$201),INDEX(Empleados!$A$2:$A$201,ROW()-4),"")</f>
        <v/>
      </c>
      <c r="B53" s="25" t="str">
        <f>IF($A53="","",INDEX(Empleados!$E$2:$E$201,MATCH($A53,Empleados!$A$2:$A$201,0)))</f>
        <v/>
      </c>
      <c r="C53" s="25" t="str">
        <f>IF($A53="","",INDEX(Empleados!$O$2:$O$201,MATCH($A53,Empleados!$A$2:$A$201,0)))</f>
        <v/>
      </c>
      <c r="D53" s="25" t="str">
        <f>IF($A53="","",INDEX(Empleados!$P$2:$P$201,MATCH($A53,Empleados!$A$2:$A$201,0)))</f>
        <v/>
      </c>
      <c r="E53" s="20" t="str">
        <f>IF($A53="","",IF($N53&lt;&gt;"ACTIVO",0,INDEX(Empleados!$M$2:$M$201,MATCH($A53,Empleados!$A$2:$A$201,0))))</f>
        <v/>
      </c>
      <c r="F53" s="20" t="str">
        <f>IF($A53="","",IF($N53&lt;&gt;"ACTIVO",0,INDEX(Empleados!$N$2:$N$201,MATCH($A53,Empleados!$A$2:$A$201,0))))</f>
        <v/>
      </c>
      <c r="G53" s="20" t="str">
        <f>IF($A53="","",IF($N53&lt;&gt;"ACTIVO",0,SUMIFS(Conceptos_Pago!$E$2:$E$100,Conceptos_Pago!$C$2:$C$100,"FIJO",Conceptos_Pago!$D$2:$D$100,"SI")))</f>
        <v/>
      </c>
      <c r="H53" s="20" t="str">
        <f>IF($A53="","",IF($N53&lt;&gt;"ACTIVO",0,SUMIFS(Movimientos!$F$2:$F$500,Movimientos!$A$2:$A$500,$B$2,Movimientos!$B$2:$B$500,$A53,Movimientos!$C$2:$C$500,"PAGO")))</f>
        <v/>
      </c>
      <c r="I53" s="20" t="str">
        <f t="shared" si="3"/>
        <v/>
      </c>
      <c r="J53" s="20" t="str">
        <f>IF($A53="","",IF($N53&lt;&gt;"ACTIVO",0,SUMIFS(Deducciones!$E$2:$E$100,Deducciones!$F$2:$F$100,"SI",Deducciones!$G$2:$G$100,"SI",Deducciones!$C$2:$C$100,"FIJO")+E53*SUMIFS(Deducciones!$E$2:$E$100,Deducciones!$F$2:$F$100,"SI",Deducciones!$G$2:$G$100,"SI",Deducciones!$C$2:$C$100,"PORCENTAJE",Deducciones!$D$2:$D$100,"SUELDO_BASE")+I53*SUMIFS(Deducciones!$E$2:$E$100,Deducciones!$F$2:$F$100,"SI",Deducciones!$G$2:$G$100,"SI",Deducciones!$C$2:$C$100,"PORCENTAJE",Deducciones!$D$2:$D$100,"TOTAL_PERCEPCIONES")))</f>
        <v/>
      </c>
      <c r="K53" s="20" t="str">
        <f>IF($A53="","",IF($N53&lt;&gt;"ACTIVO",0,SUMIFS(Movimientos!$F$2:$F$500,Movimientos!$A$2:$A$500,$B$2,Movimientos!$B$2:$B$500,$A53,Movimientos!$C$2:$C$500,"DEDUCCION")))</f>
        <v/>
      </c>
      <c r="L53" s="20" t="str">
        <f t="shared" si="4"/>
        <v/>
      </c>
      <c r="M53" s="20" t="str">
        <f t="shared" si="5"/>
        <v/>
      </c>
      <c r="N53" s="25" t="str">
        <f>IF($A53="","",INDEX(Empleados!$J$2:$J$201,MATCH($A53,Empleados!$A$2:$A$201,0)))</f>
        <v/>
      </c>
    </row>
    <row r="54" spans="1:14" x14ac:dyDescent="0.45">
      <c r="A54" s="24" t="str">
        <f>IF(ROW()-4&lt;=COUNTA(Empleados!$A$2:$A$201),INDEX(Empleados!$A$2:$A$201,ROW()-4),"")</f>
        <v/>
      </c>
      <c r="B54" s="25" t="str">
        <f>IF($A54="","",INDEX(Empleados!$E$2:$E$201,MATCH($A54,Empleados!$A$2:$A$201,0)))</f>
        <v/>
      </c>
      <c r="C54" s="25" t="str">
        <f>IF($A54="","",INDEX(Empleados!$O$2:$O$201,MATCH($A54,Empleados!$A$2:$A$201,0)))</f>
        <v/>
      </c>
      <c r="D54" s="25" t="str">
        <f>IF($A54="","",INDEX(Empleados!$P$2:$P$201,MATCH($A54,Empleados!$A$2:$A$201,0)))</f>
        <v/>
      </c>
      <c r="E54" s="20" t="str">
        <f>IF($A54="","",IF($N54&lt;&gt;"ACTIVO",0,INDEX(Empleados!$M$2:$M$201,MATCH($A54,Empleados!$A$2:$A$201,0))))</f>
        <v/>
      </c>
      <c r="F54" s="20" t="str">
        <f>IF($A54="","",IF($N54&lt;&gt;"ACTIVO",0,INDEX(Empleados!$N$2:$N$201,MATCH($A54,Empleados!$A$2:$A$201,0))))</f>
        <v/>
      </c>
      <c r="G54" s="20" t="str">
        <f>IF($A54="","",IF($N54&lt;&gt;"ACTIVO",0,SUMIFS(Conceptos_Pago!$E$2:$E$100,Conceptos_Pago!$C$2:$C$100,"FIJO",Conceptos_Pago!$D$2:$D$100,"SI")))</f>
        <v/>
      </c>
      <c r="H54" s="20" t="str">
        <f>IF($A54="","",IF($N54&lt;&gt;"ACTIVO",0,SUMIFS(Movimientos!$F$2:$F$500,Movimientos!$A$2:$A$500,$B$2,Movimientos!$B$2:$B$500,$A54,Movimientos!$C$2:$C$500,"PAGO")))</f>
        <v/>
      </c>
      <c r="I54" s="20" t="str">
        <f t="shared" si="3"/>
        <v/>
      </c>
      <c r="J54" s="20" t="str">
        <f>IF($A54="","",IF($N54&lt;&gt;"ACTIVO",0,SUMIFS(Deducciones!$E$2:$E$100,Deducciones!$F$2:$F$100,"SI",Deducciones!$G$2:$G$100,"SI",Deducciones!$C$2:$C$100,"FIJO")+E54*SUMIFS(Deducciones!$E$2:$E$100,Deducciones!$F$2:$F$100,"SI",Deducciones!$G$2:$G$100,"SI",Deducciones!$C$2:$C$100,"PORCENTAJE",Deducciones!$D$2:$D$100,"SUELDO_BASE")+I54*SUMIFS(Deducciones!$E$2:$E$100,Deducciones!$F$2:$F$100,"SI",Deducciones!$G$2:$G$100,"SI",Deducciones!$C$2:$C$100,"PORCENTAJE",Deducciones!$D$2:$D$100,"TOTAL_PERCEPCIONES")))</f>
        <v/>
      </c>
      <c r="K54" s="20" t="str">
        <f>IF($A54="","",IF($N54&lt;&gt;"ACTIVO",0,SUMIFS(Movimientos!$F$2:$F$500,Movimientos!$A$2:$A$500,$B$2,Movimientos!$B$2:$B$500,$A54,Movimientos!$C$2:$C$500,"DEDUCCION")))</f>
        <v/>
      </c>
      <c r="L54" s="20" t="str">
        <f t="shared" si="4"/>
        <v/>
      </c>
      <c r="M54" s="20" t="str">
        <f t="shared" si="5"/>
        <v/>
      </c>
      <c r="N54" s="25" t="str">
        <f>IF($A54="","",INDEX(Empleados!$J$2:$J$201,MATCH($A54,Empleados!$A$2:$A$201,0)))</f>
        <v/>
      </c>
    </row>
    <row r="55" spans="1:14" x14ac:dyDescent="0.45">
      <c r="A55" s="24" t="str">
        <f>IF(ROW()-4&lt;=COUNTA(Empleados!$A$2:$A$201),INDEX(Empleados!$A$2:$A$201,ROW()-4),"")</f>
        <v/>
      </c>
      <c r="B55" s="25" t="str">
        <f>IF($A55="","",INDEX(Empleados!$E$2:$E$201,MATCH($A55,Empleados!$A$2:$A$201,0)))</f>
        <v/>
      </c>
      <c r="C55" s="25" t="str">
        <f>IF($A55="","",INDEX(Empleados!$O$2:$O$201,MATCH($A55,Empleados!$A$2:$A$201,0)))</f>
        <v/>
      </c>
      <c r="D55" s="25" t="str">
        <f>IF($A55="","",INDEX(Empleados!$P$2:$P$201,MATCH($A55,Empleados!$A$2:$A$201,0)))</f>
        <v/>
      </c>
      <c r="E55" s="20" t="str">
        <f>IF($A55="","",IF($N55&lt;&gt;"ACTIVO",0,INDEX(Empleados!$M$2:$M$201,MATCH($A55,Empleados!$A$2:$A$201,0))))</f>
        <v/>
      </c>
      <c r="F55" s="20" t="str">
        <f>IF($A55="","",IF($N55&lt;&gt;"ACTIVO",0,INDEX(Empleados!$N$2:$N$201,MATCH($A55,Empleados!$A$2:$A$201,0))))</f>
        <v/>
      </c>
      <c r="G55" s="20" t="str">
        <f>IF($A55="","",IF($N55&lt;&gt;"ACTIVO",0,SUMIFS(Conceptos_Pago!$E$2:$E$100,Conceptos_Pago!$C$2:$C$100,"FIJO",Conceptos_Pago!$D$2:$D$100,"SI")))</f>
        <v/>
      </c>
      <c r="H55" s="20" t="str">
        <f>IF($A55="","",IF($N55&lt;&gt;"ACTIVO",0,SUMIFS(Movimientos!$F$2:$F$500,Movimientos!$A$2:$A$500,$B$2,Movimientos!$B$2:$B$500,$A55,Movimientos!$C$2:$C$500,"PAGO")))</f>
        <v/>
      </c>
      <c r="I55" s="20" t="str">
        <f t="shared" si="3"/>
        <v/>
      </c>
      <c r="J55" s="20" t="str">
        <f>IF($A55="","",IF($N55&lt;&gt;"ACTIVO",0,SUMIFS(Deducciones!$E$2:$E$100,Deducciones!$F$2:$F$100,"SI",Deducciones!$G$2:$G$100,"SI",Deducciones!$C$2:$C$100,"FIJO")+E55*SUMIFS(Deducciones!$E$2:$E$100,Deducciones!$F$2:$F$100,"SI",Deducciones!$G$2:$G$100,"SI",Deducciones!$C$2:$C$100,"PORCENTAJE",Deducciones!$D$2:$D$100,"SUELDO_BASE")+I55*SUMIFS(Deducciones!$E$2:$E$100,Deducciones!$F$2:$F$100,"SI",Deducciones!$G$2:$G$100,"SI",Deducciones!$C$2:$C$100,"PORCENTAJE",Deducciones!$D$2:$D$100,"TOTAL_PERCEPCIONES")))</f>
        <v/>
      </c>
      <c r="K55" s="20" t="str">
        <f>IF($A55="","",IF($N55&lt;&gt;"ACTIVO",0,SUMIFS(Movimientos!$F$2:$F$500,Movimientos!$A$2:$A$500,$B$2,Movimientos!$B$2:$B$500,$A55,Movimientos!$C$2:$C$500,"DEDUCCION")))</f>
        <v/>
      </c>
      <c r="L55" s="20" t="str">
        <f t="shared" si="4"/>
        <v/>
      </c>
      <c r="M55" s="20" t="str">
        <f t="shared" si="5"/>
        <v/>
      </c>
      <c r="N55" s="25" t="str">
        <f>IF($A55="","",INDEX(Empleados!$J$2:$J$201,MATCH($A55,Empleados!$A$2:$A$201,0)))</f>
        <v/>
      </c>
    </row>
    <row r="56" spans="1:14" x14ac:dyDescent="0.45">
      <c r="A56" s="24" t="str">
        <f>IF(ROW()-4&lt;=COUNTA(Empleados!$A$2:$A$201),INDEX(Empleados!$A$2:$A$201,ROW()-4),"")</f>
        <v/>
      </c>
      <c r="B56" s="25" t="str">
        <f>IF($A56="","",INDEX(Empleados!$E$2:$E$201,MATCH($A56,Empleados!$A$2:$A$201,0)))</f>
        <v/>
      </c>
      <c r="C56" s="25" t="str">
        <f>IF($A56="","",INDEX(Empleados!$O$2:$O$201,MATCH($A56,Empleados!$A$2:$A$201,0)))</f>
        <v/>
      </c>
      <c r="D56" s="25" t="str">
        <f>IF($A56="","",INDEX(Empleados!$P$2:$P$201,MATCH($A56,Empleados!$A$2:$A$201,0)))</f>
        <v/>
      </c>
      <c r="E56" s="20" t="str">
        <f>IF($A56="","",IF($N56&lt;&gt;"ACTIVO",0,INDEX(Empleados!$M$2:$M$201,MATCH($A56,Empleados!$A$2:$A$201,0))))</f>
        <v/>
      </c>
      <c r="F56" s="20" t="str">
        <f>IF($A56="","",IF($N56&lt;&gt;"ACTIVO",0,INDEX(Empleados!$N$2:$N$201,MATCH($A56,Empleados!$A$2:$A$201,0))))</f>
        <v/>
      </c>
      <c r="G56" s="20" t="str">
        <f>IF($A56="","",IF($N56&lt;&gt;"ACTIVO",0,SUMIFS(Conceptos_Pago!$E$2:$E$100,Conceptos_Pago!$C$2:$C$100,"FIJO",Conceptos_Pago!$D$2:$D$100,"SI")))</f>
        <v/>
      </c>
      <c r="H56" s="20" t="str">
        <f>IF($A56="","",IF($N56&lt;&gt;"ACTIVO",0,SUMIFS(Movimientos!$F$2:$F$500,Movimientos!$A$2:$A$500,$B$2,Movimientos!$B$2:$B$500,$A56,Movimientos!$C$2:$C$500,"PAGO")))</f>
        <v/>
      </c>
      <c r="I56" s="20" t="str">
        <f t="shared" si="3"/>
        <v/>
      </c>
      <c r="J56" s="20" t="str">
        <f>IF($A56="","",IF($N56&lt;&gt;"ACTIVO",0,SUMIFS(Deducciones!$E$2:$E$100,Deducciones!$F$2:$F$100,"SI",Deducciones!$G$2:$G$100,"SI",Deducciones!$C$2:$C$100,"FIJO")+E56*SUMIFS(Deducciones!$E$2:$E$100,Deducciones!$F$2:$F$100,"SI",Deducciones!$G$2:$G$100,"SI",Deducciones!$C$2:$C$100,"PORCENTAJE",Deducciones!$D$2:$D$100,"SUELDO_BASE")+I56*SUMIFS(Deducciones!$E$2:$E$100,Deducciones!$F$2:$F$100,"SI",Deducciones!$G$2:$G$100,"SI",Deducciones!$C$2:$C$100,"PORCENTAJE",Deducciones!$D$2:$D$100,"TOTAL_PERCEPCIONES")))</f>
        <v/>
      </c>
      <c r="K56" s="20" t="str">
        <f>IF($A56="","",IF($N56&lt;&gt;"ACTIVO",0,SUMIFS(Movimientos!$F$2:$F$500,Movimientos!$A$2:$A$500,$B$2,Movimientos!$B$2:$B$500,$A56,Movimientos!$C$2:$C$500,"DEDUCCION")))</f>
        <v/>
      </c>
      <c r="L56" s="20" t="str">
        <f t="shared" si="4"/>
        <v/>
      </c>
      <c r="M56" s="20" t="str">
        <f t="shared" si="5"/>
        <v/>
      </c>
      <c r="N56" s="25" t="str">
        <f>IF($A56="","",INDEX(Empleados!$J$2:$J$201,MATCH($A56,Empleados!$A$2:$A$201,0)))</f>
        <v/>
      </c>
    </row>
    <row r="57" spans="1:14" x14ac:dyDescent="0.45">
      <c r="A57" s="24" t="str">
        <f>IF(ROW()-4&lt;=COUNTA(Empleados!$A$2:$A$201),INDEX(Empleados!$A$2:$A$201,ROW()-4),"")</f>
        <v/>
      </c>
      <c r="B57" s="25" t="str">
        <f>IF($A57="","",INDEX(Empleados!$E$2:$E$201,MATCH($A57,Empleados!$A$2:$A$201,0)))</f>
        <v/>
      </c>
      <c r="C57" s="25" t="str">
        <f>IF($A57="","",INDEX(Empleados!$O$2:$O$201,MATCH($A57,Empleados!$A$2:$A$201,0)))</f>
        <v/>
      </c>
      <c r="D57" s="25" t="str">
        <f>IF($A57="","",INDEX(Empleados!$P$2:$P$201,MATCH($A57,Empleados!$A$2:$A$201,0)))</f>
        <v/>
      </c>
      <c r="E57" s="20" t="str">
        <f>IF($A57="","",IF($N57&lt;&gt;"ACTIVO",0,INDEX(Empleados!$M$2:$M$201,MATCH($A57,Empleados!$A$2:$A$201,0))))</f>
        <v/>
      </c>
      <c r="F57" s="20" t="str">
        <f>IF($A57="","",IF($N57&lt;&gt;"ACTIVO",0,INDEX(Empleados!$N$2:$N$201,MATCH($A57,Empleados!$A$2:$A$201,0))))</f>
        <v/>
      </c>
      <c r="G57" s="20" t="str">
        <f>IF($A57="","",IF($N57&lt;&gt;"ACTIVO",0,SUMIFS(Conceptos_Pago!$E$2:$E$100,Conceptos_Pago!$C$2:$C$100,"FIJO",Conceptos_Pago!$D$2:$D$100,"SI")))</f>
        <v/>
      </c>
      <c r="H57" s="20" t="str">
        <f>IF($A57="","",IF($N57&lt;&gt;"ACTIVO",0,SUMIFS(Movimientos!$F$2:$F$500,Movimientos!$A$2:$A$500,$B$2,Movimientos!$B$2:$B$500,$A57,Movimientos!$C$2:$C$500,"PAGO")))</f>
        <v/>
      </c>
      <c r="I57" s="20" t="str">
        <f t="shared" si="3"/>
        <v/>
      </c>
      <c r="J57" s="20" t="str">
        <f>IF($A57="","",IF($N57&lt;&gt;"ACTIVO",0,SUMIFS(Deducciones!$E$2:$E$100,Deducciones!$F$2:$F$100,"SI",Deducciones!$G$2:$G$100,"SI",Deducciones!$C$2:$C$100,"FIJO")+E57*SUMIFS(Deducciones!$E$2:$E$100,Deducciones!$F$2:$F$100,"SI",Deducciones!$G$2:$G$100,"SI",Deducciones!$C$2:$C$100,"PORCENTAJE",Deducciones!$D$2:$D$100,"SUELDO_BASE")+I57*SUMIFS(Deducciones!$E$2:$E$100,Deducciones!$F$2:$F$100,"SI",Deducciones!$G$2:$G$100,"SI",Deducciones!$C$2:$C$100,"PORCENTAJE",Deducciones!$D$2:$D$100,"TOTAL_PERCEPCIONES")))</f>
        <v/>
      </c>
      <c r="K57" s="20" t="str">
        <f>IF($A57="","",IF($N57&lt;&gt;"ACTIVO",0,SUMIFS(Movimientos!$F$2:$F$500,Movimientos!$A$2:$A$500,$B$2,Movimientos!$B$2:$B$500,$A57,Movimientos!$C$2:$C$500,"DEDUCCION")))</f>
        <v/>
      </c>
      <c r="L57" s="20" t="str">
        <f t="shared" si="4"/>
        <v/>
      </c>
      <c r="M57" s="20" t="str">
        <f t="shared" si="5"/>
        <v/>
      </c>
      <c r="N57" s="25" t="str">
        <f>IF($A57="","",INDEX(Empleados!$J$2:$J$201,MATCH($A57,Empleados!$A$2:$A$201,0)))</f>
        <v/>
      </c>
    </row>
    <row r="58" spans="1:14" x14ac:dyDescent="0.45">
      <c r="A58" s="24" t="str">
        <f>IF(ROW()-4&lt;=COUNTA(Empleados!$A$2:$A$201),INDEX(Empleados!$A$2:$A$201,ROW()-4),"")</f>
        <v/>
      </c>
      <c r="B58" s="25" t="str">
        <f>IF($A58="","",INDEX(Empleados!$E$2:$E$201,MATCH($A58,Empleados!$A$2:$A$201,0)))</f>
        <v/>
      </c>
      <c r="C58" s="25" t="str">
        <f>IF($A58="","",INDEX(Empleados!$O$2:$O$201,MATCH($A58,Empleados!$A$2:$A$201,0)))</f>
        <v/>
      </c>
      <c r="D58" s="25" t="str">
        <f>IF($A58="","",INDEX(Empleados!$P$2:$P$201,MATCH($A58,Empleados!$A$2:$A$201,0)))</f>
        <v/>
      </c>
      <c r="E58" s="20" t="str">
        <f>IF($A58="","",IF($N58&lt;&gt;"ACTIVO",0,INDEX(Empleados!$M$2:$M$201,MATCH($A58,Empleados!$A$2:$A$201,0))))</f>
        <v/>
      </c>
      <c r="F58" s="20" t="str">
        <f>IF($A58="","",IF($N58&lt;&gt;"ACTIVO",0,INDEX(Empleados!$N$2:$N$201,MATCH($A58,Empleados!$A$2:$A$201,0))))</f>
        <v/>
      </c>
      <c r="G58" s="20" t="str">
        <f>IF($A58="","",IF($N58&lt;&gt;"ACTIVO",0,SUMIFS(Conceptos_Pago!$E$2:$E$100,Conceptos_Pago!$C$2:$C$100,"FIJO",Conceptos_Pago!$D$2:$D$100,"SI")))</f>
        <v/>
      </c>
      <c r="H58" s="20" t="str">
        <f>IF($A58="","",IF($N58&lt;&gt;"ACTIVO",0,SUMIFS(Movimientos!$F$2:$F$500,Movimientos!$A$2:$A$500,$B$2,Movimientos!$B$2:$B$500,$A58,Movimientos!$C$2:$C$500,"PAGO")))</f>
        <v/>
      </c>
      <c r="I58" s="20" t="str">
        <f t="shared" si="3"/>
        <v/>
      </c>
      <c r="J58" s="20" t="str">
        <f>IF($A58="","",IF($N58&lt;&gt;"ACTIVO",0,SUMIFS(Deducciones!$E$2:$E$100,Deducciones!$F$2:$F$100,"SI",Deducciones!$G$2:$G$100,"SI",Deducciones!$C$2:$C$100,"FIJO")+E58*SUMIFS(Deducciones!$E$2:$E$100,Deducciones!$F$2:$F$100,"SI",Deducciones!$G$2:$G$100,"SI",Deducciones!$C$2:$C$100,"PORCENTAJE",Deducciones!$D$2:$D$100,"SUELDO_BASE")+I58*SUMIFS(Deducciones!$E$2:$E$100,Deducciones!$F$2:$F$100,"SI",Deducciones!$G$2:$G$100,"SI",Deducciones!$C$2:$C$100,"PORCENTAJE",Deducciones!$D$2:$D$100,"TOTAL_PERCEPCIONES")))</f>
        <v/>
      </c>
      <c r="K58" s="20" t="str">
        <f>IF($A58="","",IF($N58&lt;&gt;"ACTIVO",0,SUMIFS(Movimientos!$F$2:$F$500,Movimientos!$A$2:$A$500,$B$2,Movimientos!$B$2:$B$500,$A58,Movimientos!$C$2:$C$500,"DEDUCCION")))</f>
        <v/>
      </c>
      <c r="L58" s="20" t="str">
        <f t="shared" si="4"/>
        <v/>
      </c>
      <c r="M58" s="20" t="str">
        <f t="shared" si="5"/>
        <v/>
      </c>
      <c r="N58" s="25" t="str">
        <f>IF($A58="","",INDEX(Empleados!$J$2:$J$201,MATCH($A58,Empleados!$A$2:$A$201,0)))</f>
        <v/>
      </c>
    </row>
    <row r="59" spans="1:14" x14ac:dyDescent="0.45">
      <c r="A59" s="24" t="str">
        <f>IF(ROW()-4&lt;=COUNTA(Empleados!$A$2:$A$201),INDEX(Empleados!$A$2:$A$201,ROW()-4),"")</f>
        <v/>
      </c>
      <c r="B59" s="25" t="str">
        <f>IF($A59="","",INDEX(Empleados!$E$2:$E$201,MATCH($A59,Empleados!$A$2:$A$201,0)))</f>
        <v/>
      </c>
      <c r="C59" s="25" t="str">
        <f>IF($A59="","",INDEX(Empleados!$O$2:$O$201,MATCH($A59,Empleados!$A$2:$A$201,0)))</f>
        <v/>
      </c>
      <c r="D59" s="25" t="str">
        <f>IF($A59="","",INDEX(Empleados!$P$2:$P$201,MATCH($A59,Empleados!$A$2:$A$201,0)))</f>
        <v/>
      </c>
      <c r="E59" s="20" t="str">
        <f>IF($A59="","",IF($N59&lt;&gt;"ACTIVO",0,INDEX(Empleados!$M$2:$M$201,MATCH($A59,Empleados!$A$2:$A$201,0))))</f>
        <v/>
      </c>
      <c r="F59" s="20" t="str">
        <f>IF($A59="","",IF($N59&lt;&gt;"ACTIVO",0,INDEX(Empleados!$N$2:$N$201,MATCH($A59,Empleados!$A$2:$A$201,0))))</f>
        <v/>
      </c>
      <c r="G59" s="20" t="str">
        <f>IF($A59="","",IF($N59&lt;&gt;"ACTIVO",0,SUMIFS(Conceptos_Pago!$E$2:$E$100,Conceptos_Pago!$C$2:$C$100,"FIJO",Conceptos_Pago!$D$2:$D$100,"SI")))</f>
        <v/>
      </c>
      <c r="H59" s="20" t="str">
        <f>IF($A59="","",IF($N59&lt;&gt;"ACTIVO",0,SUMIFS(Movimientos!$F$2:$F$500,Movimientos!$A$2:$A$500,$B$2,Movimientos!$B$2:$B$500,$A59,Movimientos!$C$2:$C$500,"PAGO")))</f>
        <v/>
      </c>
      <c r="I59" s="20" t="str">
        <f t="shared" si="3"/>
        <v/>
      </c>
      <c r="J59" s="20" t="str">
        <f>IF($A59="","",IF($N59&lt;&gt;"ACTIVO",0,SUMIFS(Deducciones!$E$2:$E$100,Deducciones!$F$2:$F$100,"SI",Deducciones!$G$2:$G$100,"SI",Deducciones!$C$2:$C$100,"FIJO")+E59*SUMIFS(Deducciones!$E$2:$E$100,Deducciones!$F$2:$F$100,"SI",Deducciones!$G$2:$G$100,"SI",Deducciones!$C$2:$C$100,"PORCENTAJE",Deducciones!$D$2:$D$100,"SUELDO_BASE")+I59*SUMIFS(Deducciones!$E$2:$E$100,Deducciones!$F$2:$F$100,"SI",Deducciones!$G$2:$G$100,"SI",Deducciones!$C$2:$C$100,"PORCENTAJE",Deducciones!$D$2:$D$100,"TOTAL_PERCEPCIONES")))</f>
        <v/>
      </c>
      <c r="K59" s="20" t="str">
        <f>IF($A59="","",IF($N59&lt;&gt;"ACTIVO",0,SUMIFS(Movimientos!$F$2:$F$500,Movimientos!$A$2:$A$500,$B$2,Movimientos!$B$2:$B$500,$A59,Movimientos!$C$2:$C$500,"DEDUCCION")))</f>
        <v/>
      </c>
      <c r="L59" s="20" t="str">
        <f t="shared" si="4"/>
        <v/>
      </c>
      <c r="M59" s="20" t="str">
        <f t="shared" si="5"/>
        <v/>
      </c>
      <c r="N59" s="25" t="str">
        <f>IF($A59="","",INDEX(Empleados!$J$2:$J$201,MATCH($A59,Empleados!$A$2:$A$201,0)))</f>
        <v/>
      </c>
    </row>
    <row r="60" spans="1:14" x14ac:dyDescent="0.45">
      <c r="A60" s="24" t="str">
        <f>IF(ROW()-4&lt;=COUNTA(Empleados!$A$2:$A$201),INDEX(Empleados!$A$2:$A$201,ROW()-4),"")</f>
        <v/>
      </c>
      <c r="B60" s="25" t="str">
        <f>IF($A60="","",INDEX(Empleados!$E$2:$E$201,MATCH($A60,Empleados!$A$2:$A$201,0)))</f>
        <v/>
      </c>
      <c r="C60" s="25" t="str">
        <f>IF($A60="","",INDEX(Empleados!$O$2:$O$201,MATCH($A60,Empleados!$A$2:$A$201,0)))</f>
        <v/>
      </c>
      <c r="D60" s="25" t="str">
        <f>IF($A60="","",INDEX(Empleados!$P$2:$P$201,MATCH($A60,Empleados!$A$2:$A$201,0)))</f>
        <v/>
      </c>
      <c r="E60" s="20" t="str">
        <f>IF($A60="","",IF($N60&lt;&gt;"ACTIVO",0,INDEX(Empleados!$M$2:$M$201,MATCH($A60,Empleados!$A$2:$A$201,0))))</f>
        <v/>
      </c>
      <c r="F60" s="20" t="str">
        <f>IF($A60="","",IF($N60&lt;&gt;"ACTIVO",0,INDEX(Empleados!$N$2:$N$201,MATCH($A60,Empleados!$A$2:$A$201,0))))</f>
        <v/>
      </c>
      <c r="G60" s="20" t="str">
        <f>IF($A60="","",IF($N60&lt;&gt;"ACTIVO",0,SUMIFS(Conceptos_Pago!$E$2:$E$100,Conceptos_Pago!$C$2:$C$100,"FIJO",Conceptos_Pago!$D$2:$D$100,"SI")))</f>
        <v/>
      </c>
      <c r="H60" s="20" t="str">
        <f>IF($A60="","",IF($N60&lt;&gt;"ACTIVO",0,SUMIFS(Movimientos!$F$2:$F$500,Movimientos!$A$2:$A$500,$B$2,Movimientos!$B$2:$B$500,$A60,Movimientos!$C$2:$C$500,"PAGO")))</f>
        <v/>
      </c>
      <c r="I60" s="20" t="str">
        <f t="shared" si="3"/>
        <v/>
      </c>
      <c r="J60" s="20" t="str">
        <f>IF($A60="","",IF($N60&lt;&gt;"ACTIVO",0,SUMIFS(Deducciones!$E$2:$E$100,Deducciones!$F$2:$F$100,"SI",Deducciones!$G$2:$G$100,"SI",Deducciones!$C$2:$C$100,"FIJO")+E60*SUMIFS(Deducciones!$E$2:$E$100,Deducciones!$F$2:$F$100,"SI",Deducciones!$G$2:$G$100,"SI",Deducciones!$C$2:$C$100,"PORCENTAJE",Deducciones!$D$2:$D$100,"SUELDO_BASE")+I60*SUMIFS(Deducciones!$E$2:$E$100,Deducciones!$F$2:$F$100,"SI",Deducciones!$G$2:$G$100,"SI",Deducciones!$C$2:$C$100,"PORCENTAJE",Deducciones!$D$2:$D$100,"TOTAL_PERCEPCIONES")))</f>
        <v/>
      </c>
      <c r="K60" s="20" t="str">
        <f>IF($A60="","",IF($N60&lt;&gt;"ACTIVO",0,SUMIFS(Movimientos!$F$2:$F$500,Movimientos!$A$2:$A$500,$B$2,Movimientos!$B$2:$B$500,$A60,Movimientos!$C$2:$C$500,"DEDUCCION")))</f>
        <v/>
      </c>
      <c r="L60" s="20" t="str">
        <f t="shared" si="4"/>
        <v/>
      </c>
      <c r="M60" s="20" t="str">
        <f t="shared" si="5"/>
        <v/>
      </c>
      <c r="N60" s="25" t="str">
        <f>IF($A60="","",INDEX(Empleados!$J$2:$J$201,MATCH($A60,Empleados!$A$2:$A$201,0)))</f>
        <v/>
      </c>
    </row>
    <row r="61" spans="1:14" x14ac:dyDescent="0.45">
      <c r="A61" s="24" t="str">
        <f>IF(ROW()-4&lt;=COUNTA(Empleados!$A$2:$A$201),INDEX(Empleados!$A$2:$A$201,ROW()-4),"")</f>
        <v/>
      </c>
      <c r="B61" s="25" t="str">
        <f>IF($A61="","",INDEX(Empleados!$E$2:$E$201,MATCH($A61,Empleados!$A$2:$A$201,0)))</f>
        <v/>
      </c>
      <c r="C61" s="25" t="str">
        <f>IF($A61="","",INDEX(Empleados!$O$2:$O$201,MATCH($A61,Empleados!$A$2:$A$201,0)))</f>
        <v/>
      </c>
      <c r="D61" s="25" t="str">
        <f>IF($A61="","",INDEX(Empleados!$P$2:$P$201,MATCH($A61,Empleados!$A$2:$A$201,0)))</f>
        <v/>
      </c>
      <c r="E61" s="20" t="str">
        <f>IF($A61="","",IF($N61&lt;&gt;"ACTIVO",0,INDEX(Empleados!$M$2:$M$201,MATCH($A61,Empleados!$A$2:$A$201,0))))</f>
        <v/>
      </c>
      <c r="F61" s="20" t="str">
        <f>IF($A61="","",IF($N61&lt;&gt;"ACTIVO",0,INDEX(Empleados!$N$2:$N$201,MATCH($A61,Empleados!$A$2:$A$201,0))))</f>
        <v/>
      </c>
      <c r="G61" s="20" t="str">
        <f>IF($A61="","",IF($N61&lt;&gt;"ACTIVO",0,SUMIFS(Conceptos_Pago!$E$2:$E$100,Conceptos_Pago!$C$2:$C$100,"FIJO",Conceptos_Pago!$D$2:$D$100,"SI")))</f>
        <v/>
      </c>
      <c r="H61" s="20" t="str">
        <f>IF($A61="","",IF($N61&lt;&gt;"ACTIVO",0,SUMIFS(Movimientos!$F$2:$F$500,Movimientos!$A$2:$A$500,$B$2,Movimientos!$B$2:$B$500,$A61,Movimientos!$C$2:$C$500,"PAGO")))</f>
        <v/>
      </c>
      <c r="I61" s="20" t="str">
        <f t="shared" si="3"/>
        <v/>
      </c>
      <c r="J61" s="20" t="str">
        <f>IF($A61="","",IF($N61&lt;&gt;"ACTIVO",0,SUMIFS(Deducciones!$E$2:$E$100,Deducciones!$F$2:$F$100,"SI",Deducciones!$G$2:$G$100,"SI",Deducciones!$C$2:$C$100,"FIJO")+E61*SUMIFS(Deducciones!$E$2:$E$100,Deducciones!$F$2:$F$100,"SI",Deducciones!$G$2:$G$100,"SI",Deducciones!$C$2:$C$100,"PORCENTAJE",Deducciones!$D$2:$D$100,"SUELDO_BASE")+I61*SUMIFS(Deducciones!$E$2:$E$100,Deducciones!$F$2:$F$100,"SI",Deducciones!$G$2:$G$100,"SI",Deducciones!$C$2:$C$100,"PORCENTAJE",Deducciones!$D$2:$D$100,"TOTAL_PERCEPCIONES")))</f>
        <v/>
      </c>
      <c r="K61" s="20" t="str">
        <f>IF($A61="","",IF($N61&lt;&gt;"ACTIVO",0,SUMIFS(Movimientos!$F$2:$F$500,Movimientos!$A$2:$A$500,$B$2,Movimientos!$B$2:$B$500,$A61,Movimientos!$C$2:$C$500,"DEDUCCION")))</f>
        <v/>
      </c>
      <c r="L61" s="20" t="str">
        <f t="shared" si="4"/>
        <v/>
      </c>
      <c r="M61" s="20" t="str">
        <f t="shared" si="5"/>
        <v/>
      </c>
      <c r="N61" s="25" t="str">
        <f>IF($A61="","",INDEX(Empleados!$J$2:$J$201,MATCH($A61,Empleados!$A$2:$A$201,0)))</f>
        <v/>
      </c>
    </row>
    <row r="62" spans="1:14" x14ac:dyDescent="0.45">
      <c r="A62" s="24" t="str">
        <f>IF(ROW()-4&lt;=COUNTA(Empleados!$A$2:$A$201),INDEX(Empleados!$A$2:$A$201,ROW()-4),"")</f>
        <v/>
      </c>
      <c r="B62" s="25" t="str">
        <f>IF($A62="","",INDEX(Empleados!$E$2:$E$201,MATCH($A62,Empleados!$A$2:$A$201,0)))</f>
        <v/>
      </c>
      <c r="C62" s="25" t="str">
        <f>IF($A62="","",INDEX(Empleados!$O$2:$O$201,MATCH($A62,Empleados!$A$2:$A$201,0)))</f>
        <v/>
      </c>
      <c r="D62" s="25" t="str">
        <f>IF($A62="","",INDEX(Empleados!$P$2:$P$201,MATCH($A62,Empleados!$A$2:$A$201,0)))</f>
        <v/>
      </c>
      <c r="E62" s="20" t="str">
        <f>IF($A62="","",IF($N62&lt;&gt;"ACTIVO",0,INDEX(Empleados!$M$2:$M$201,MATCH($A62,Empleados!$A$2:$A$201,0))))</f>
        <v/>
      </c>
      <c r="F62" s="20" t="str">
        <f>IF($A62="","",IF($N62&lt;&gt;"ACTIVO",0,INDEX(Empleados!$N$2:$N$201,MATCH($A62,Empleados!$A$2:$A$201,0))))</f>
        <v/>
      </c>
      <c r="G62" s="20" t="str">
        <f>IF($A62="","",IF($N62&lt;&gt;"ACTIVO",0,SUMIFS(Conceptos_Pago!$E$2:$E$100,Conceptos_Pago!$C$2:$C$100,"FIJO",Conceptos_Pago!$D$2:$D$100,"SI")))</f>
        <v/>
      </c>
      <c r="H62" s="20" t="str">
        <f>IF($A62="","",IF($N62&lt;&gt;"ACTIVO",0,SUMIFS(Movimientos!$F$2:$F$500,Movimientos!$A$2:$A$500,$B$2,Movimientos!$B$2:$B$500,$A62,Movimientos!$C$2:$C$500,"PAGO")))</f>
        <v/>
      </c>
      <c r="I62" s="20" t="str">
        <f t="shared" si="3"/>
        <v/>
      </c>
      <c r="J62" s="20" t="str">
        <f>IF($A62="","",IF($N62&lt;&gt;"ACTIVO",0,SUMIFS(Deducciones!$E$2:$E$100,Deducciones!$F$2:$F$100,"SI",Deducciones!$G$2:$G$100,"SI",Deducciones!$C$2:$C$100,"FIJO")+E62*SUMIFS(Deducciones!$E$2:$E$100,Deducciones!$F$2:$F$100,"SI",Deducciones!$G$2:$G$100,"SI",Deducciones!$C$2:$C$100,"PORCENTAJE",Deducciones!$D$2:$D$100,"SUELDO_BASE")+I62*SUMIFS(Deducciones!$E$2:$E$100,Deducciones!$F$2:$F$100,"SI",Deducciones!$G$2:$G$100,"SI",Deducciones!$C$2:$C$100,"PORCENTAJE",Deducciones!$D$2:$D$100,"TOTAL_PERCEPCIONES")))</f>
        <v/>
      </c>
      <c r="K62" s="20" t="str">
        <f>IF($A62="","",IF($N62&lt;&gt;"ACTIVO",0,SUMIFS(Movimientos!$F$2:$F$500,Movimientos!$A$2:$A$500,$B$2,Movimientos!$B$2:$B$500,$A62,Movimientos!$C$2:$C$500,"DEDUCCION")))</f>
        <v/>
      </c>
      <c r="L62" s="20" t="str">
        <f t="shared" si="4"/>
        <v/>
      </c>
      <c r="M62" s="20" t="str">
        <f t="shared" si="5"/>
        <v/>
      </c>
      <c r="N62" s="25" t="str">
        <f>IF($A62="","",INDEX(Empleados!$J$2:$J$201,MATCH($A62,Empleados!$A$2:$A$201,0)))</f>
        <v/>
      </c>
    </row>
    <row r="63" spans="1:14" x14ac:dyDescent="0.45">
      <c r="A63" s="24" t="str">
        <f>IF(ROW()-4&lt;=COUNTA(Empleados!$A$2:$A$201),INDEX(Empleados!$A$2:$A$201,ROW()-4),"")</f>
        <v/>
      </c>
      <c r="B63" s="25" t="str">
        <f>IF($A63="","",INDEX(Empleados!$E$2:$E$201,MATCH($A63,Empleados!$A$2:$A$201,0)))</f>
        <v/>
      </c>
      <c r="C63" s="25" t="str">
        <f>IF($A63="","",INDEX(Empleados!$O$2:$O$201,MATCH($A63,Empleados!$A$2:$A$201,0)))</f>
        <v/>
      </c>
      <c r="D63" s="25" t="str">
        <f>IF($A63="","",INDEX(Empleados!$P$2:$P$201,MATCH($A63,Empleados!$A$2:$A$201,0)))</f>
        <v/>
      </c>
      <c r="E63" s="20" t="str">
        <f>IF($A63="","",IF($N63&lt;&gt;"ACTIVO",0,INDEX(Empleados!$M$2:$M$201,MATCH($A63,Empleados!$A$2:$A$201,0))))</f>
        <v/>
      </c>
      <c r="F63" s="20" t="str">
        <f>IF($A63="","",IF($N63&lt;&gt;"ACTIVO",0,INDEX(Empleados!$N$2:$N$201,MATCH($A63,Empleados!$A$2:$A$201,0))))</f>
        <v/>
      </c>
      <c r="G63" s="20" t="str">
        <f>IF($A63="","",IF($N63&lt;&gt;"ACTIVO",0,SUMIFS(Conceptos_Pago!$E$2:$E$100,Conceptos_Pago!$C$2:$C$100,"FIJO",Conceptos_Pago!$D$2:$D$100,"SI")))</f>
        <v/>
      </c>
      <c r="H63" s="20" t="str">
        <f>IF($A63="","",IF($N63&lt;&gt;"ACTIVO",0,SUMIFS(Movimientos!$F$2:$F$500,Movimientos!$A$2:$A$500,$B$2,Movimientos!$B$2:$B$500,$A63,Movimientos!$C$2:$C$500,"PAGO")))</f>
        <v/>
      </c>
      <c r="I63" s="20" t="str">
        <f t="shared" si="3"/>
        <v/>
      </c>
      <c r="J63" s="20" t="str">
        <f>IF($A63="","",IF($N63&lt;&gt;"ACTIVO",0,SUMIFS(Deducciones!$E$2:$E$100,Deducciones!$F$2:$F$100,"SI",Deducciones!$G$2:$G$100,"SI",Deducciones!$C$2:$C$100,"FIJO")+E63*SUMIFS(Deducciones!$E$2:$E$100,Deducciones!$F$2:$F$100,"SI",Deducciones!$G$2:$G$100,"SI",Deducciones!$C$2:$C$100,"PORCENTAJE",Deducciones!$D$2:$D$100,"SUELDO_BASE")+I63*SUMIFS(Deducciones!$E$2:$E$100,Deducciones!$F$2:$F$100,"SI",Deducciones!$G$2:$G$100,"SI",Deducciones!$C$2:$C$100,"PORCENTAJE",Deducciones!$D$2:$D$100,"TOTAL_PERCEPCIONES")))</f>
        <v/>
      </c>
      <c r="K63" s="20" t="str">
        <f>IF($A63="","",IF($N63&lt;&gt;"ACTIVO",0,SUMIFS(Movimientos!$F$2:$F$500,Movimientos!$A$2:$A$500,$B$2,Movimientos!$B$2:$B$500,$A63,Movimientos!$C$2:$C$500,"DEDUCCION")))</f>
        <v/>
      </c>
      <c r="L63" s="20" t="str">
        <f t="shared" si="4"/>
        <v/>
      </c>
      <c r="M63" s="20" t="str">
        <f t="shared" si="5"/>
        <v/>
      </c>
      <c r="N63" s="25" t="str">
        <f>IF($A63="","",INDEX(Empleados!$J$2:$J$201,MATCH($A63,Empleados!$A$2:$A$201,0)))</f>
        <v/>
      </c>
    </row>
    <row r="64" spans="1:14" x14ac:dyDescent="0.45">
      <c r="A64" s="24" t="str">
        <f>IF(ROW()-4&lt;=COUNTA(Empleados!$A$2:$A$201),INDEX(Empleados!$A$2:$A$201,ROW()-4),"")</f>
        <v/>
      </c>
      <c r="B64" s="25" t="str">
        <f>IF($A64="","",INDEX(Empleados!$E$2:$E$201,MATCH($A64,Empleados!$A$2:$A$201,0)))</f>
        <v/>
      </c>
      <c r="C64" s="25" t="str">
        <f>IF($A64="","",INDEX(Empleados!$O$2:$O$201,MATCH($A64,Empleados!$A$2:$A$201,0)))</f>
        <v/>
      </c>
      <c r="D64" s="25" t="str">
        <f>IF($A64="","",INDEX(Empleados!$P$2:$P$201,MATCH($A64,Empleados!$A$2:$A$201,0)))</f>
        <v/>
      </c>
      <c r="E64" s="20" t="str">
        <f>IF($A64="","",IF($N64&lt;&gt;"ACTIVO",0,INDEX(Empleados!$M$2:$M$201,MATCH($A64,Empleados!$A$2:$A$201,0))))</f>
        <v/>
      </c>
      <c r="F64" s="20" t="str">
        <f>IF($A64="","",IF($N64&lt;&gt;"ACTIVO",0,INDEX(Empleados!$N$2:$N$201,MATCH($A64,Empleados!$A$2:$A$201,0))))</f>
        <v/>
      </c>
      <c r="G64" s="20" t="str">
        <f>IF($A64="","",IF($N64&lt;&gt;"ACTIVO",0,SUMIFS(Conceptos_Pago!$E$2:$E$100,Conceptos_Pago!$C$2:$C$100,"FIJO",Conceptos_Pago!$D$2:$D$100,"SI")))</f>
        <v/>
      </c>
      <c r="H64" s="20" t="str">
        <f>IF($A64="","",IF($N64&lt;&gt;"ACTIVO",0,SUMIFS(Movimientos!$F$2:$F$500,Movimientos!$A$2:$A$500,$B$2,Movimientos!$B$2:$B$500,$A64,Movimientos!$C$2:$C$500,"PAGO")))</f>
        <v/>
      </c>
      <c r="I64" s="20" t="str">
        <f t="shared" si="3"/>
        <v/>
      </c>
      <c r="J64" s="20" t="str">
        <f>IF($A64="","",IF($N64&lt;&gt;"ACTIVO",0,SUMIFS(Deducciones!$E$2:$E$100,Deducciones!$F$2:$F$100,"SI",Deducciones!$G$2:$G$100,"SI",Deducciones!$C$2:$C$100,"FIJO")+E64*SUMIFS(Deducciones!$E$2:$E$100,Deducciones!$F$2:$F$100,"SI",Deducciones!$G$2:$G$100,"SI",Deducciones!$C$2:$C$100,"PORCENTAJE",Deducciones!$D$2:$D$100,"SUELDO_BASE")+I64*SUMIFS(Deducciones!$E$2:$E$100,Deducciones!$F$2:$F$100,"SI",Deducciones!$G$2:$G$100,"SI",Deducciones!$C$2:$C$100,"PORCENTAJE",Deducciones!$D$2:$D$100,"TOTAL_PERCEPCIONES")))</f>
        <v/>
      </c>
      <c r="K64" s="20" t="str">
        <f>IF($A64="","",IF($N64&lt;&gt;"ACTIVO",0,SUMIFS(Movimientos!$F$2:$F$500,Movimientos!$A$2:$A$500,$B$2,Movimientos!$B$2:$B$500,$A64,Movimientos!$C$2:$C$500,"DEDUCCION")))</f>
        <v/>
      </c>
      <c r="L64" s="20" t="str">
        <f t="shared" si="4"/>
        <v/>
      </c>
      <c r="M64" s="20" t="str">
        <f t="shared" si="5"/>
        <v/>
      </c>
      <c r="N64" s="25" t="str">
        <f>IF($A64="","",INDEX(Empleados!$J$2:$J$201,MATCH($A64,Empleados!$A$2:$A$201,0)))</f>
        <v/>
      </c>
    </row>
    <row r="65" spans="1:14" x14ac:dyDescent="0.45">
      <c r="A65" s="24" t="str">
        <f>IF(ROW()-4&lt;=COUNTA(Empleados!$A$2:$A$201),INDEX(Empleados!$A$2:$A$201,ROW()-4),"")</f>
        <v/>
      </c>
      <c r="B65" s="25" t="str">
        <f>IF($A65="","",INDEX(Empleados!$E$2:$E$201,MATCH($A65,Empleados!$A$2:$A$201,0)))</f>
        <v/>
      </c>
      <c r="C65" s="25" t="str">
        <f>IF($A65="","",INDEX(Empleados!$O$2:$O$201,MATCH($A65,Empleados!$A$2:$A$201,0)))</f>
        <v/>
      </c>
      <c r="D65" s="25" t="str">
        <f>IF($A65="","",INDEX(Empleados!$P$2:$P$201,MATCH($A65,Empleados!$A$2:$A$201,0)))</f>
        <v/>
      </c>
      <c r="E65" s="20" t="str">
        <f>IF($A65="","",IF($N65&lt;&gt;"ACTIVO",0,INDEX(Empleados!$M$2:$M$201,MATCH($A65,Empleados!$A$2:$A$201,0))))</f>
        <v/>
      </c>
      <c r="F65" s="20" t="str">
        <f>IF($A65="","",IF($N65&lt;&gt;"ACTIVO",0,INDEX(Empleados!$N$2:$N$201,MATCH($A65,Empleados!$A$2:$A$201,0))))</f>
        <v/>
      </c>
      <c r="G65" s="20" t="str">
        <f>IF($A65="","",IF($N65&lt;&gt;"ACTIVO",0,SUMIFS(Conceptos_Pago!$E$2:$E$100,Conceptos_Pago!$C$2:$C$100,"FIJO",Conceptos_Pago!$D$2:$D$100,"SI")))</f>
        <v/>
      </c>
      <c r="H65" s="20" t="str">
        <f>IF($A65="","",IF($N65&lt;&gt;"ACTIVO",0,SUMIFS(Movimientos!$F$2:$F$500,Movimientos!$A$2:$A$500,$B$2,Movimientos!$B$2:$B$500,$A65,Movimientos!$C$2:$C$500,"PAGO")))</f>
        <v/>
      </c>
      <c r="I65" s="20" t="str">
        <f t="shared" si="3"/>
        <v/>
      </c>
      <c r="J65" s="20" t="str">
        <f>IF($A65="","",IF($N65&lt;&gt;"ACTIVO",0,SUMIFS(Deducciones!$E$2:$E$100,Deducciones!$F$2:$F$100,"SI",Deducciones!$G$2:$G$100,"SI",Deducciones!$C$2:$C$100,"FIJO")+E65*SUMIFS(Deducciones!$E$2:$E$100,Deducciones!$F$2:$F$100,"SI",Deducciones!$G$2:$G$100,"SI",Deducciones!$C$2:$C$100,"PORCENTAJE",Deducciones!$D$2:$D$100,"SUELDO_BASE")+I65*SUMIFS(Deducciones!$E$2:$E$100,Deducciones!$F$2:$F$100,"SI",Deducciones!$G$2:$G$100,"SI",Deducciones!$C$2:$C$100,"PORCENTAJE",Deducciones!$D$2:$D$100,"TOTAL_PERCEPCIONES")))</f>
        <v/>
      </c>
      <c r="K65" s="20" t="str">
        <f>IF($A65="","",IF($N65&lt;&gt;"ACTIVO",0,SUMIFS(Movimientos!$F$2:$F$500,Movimientos!$A$2:$A$500,$B$2,Movimientos!$B$2:$B$500,$A65,Movimientos!$C$2:$C$500,"DEDUCCION")))</f>
        <v/>
      </c>
      <c r="L65" s="20" t="str">
        <f t="shared" si="4"/>
        <v/>
      </c>
      <c r="M65" s="20" t="str">
        <f t="shared" si="5"/>
        <v/>
      </c>
      <c r="N65" s="25" t="str">
        <f>IF($A65="","",INDEX(Empleados!$J$2:$J$201,MATCH($A65,Empleados!$A$2:$A$201,0)))</f>
        <v/>
      </c>
    </row>
    <row r="66" spans="1:14" x14ac:dyDescent="0.45">
      <c r="A66" s="24" t="str">
        <f>IF(ROW()-4&lt;=COUNTA(Empleados!$A$2:$A$201),INDEX(Empleados!$A$2:$A$201,ROW()-4),"")</f>
        <v/>
      </c>
      <c r="B66" s="25" t="str">
        <f>IF($A66="","",INDEX(Empleados!$E$2:$E$201,MATCH($A66,Empleados!$A$2:$A$201,0)))</f>
        <v/>
      </c>
      <c r="C66" s="25" t="str">
        <f>IF($A66="","",INDEX(Empleados!$O$2:$O$201,MATCH($A66,Empleados!$A$2:$A$201,0)))</f>
        <v/>
      </c>
      <c r="D66" s="25" t="str">
        <f>IF($A66="","",INDEX(Empleados!$P$2:$P$201,MATCH($A66,Empleados!$A$2:$A$201,0)))</f>
        <v/>
      </c>
      <c r="E66" s="20" t="str">
        <f>IF($A66="","",IF($N66&lt;&gt;"ACTIVO",0,INDEX(Empleados!$M$2:$M$201,MATCH($A66,Empleados!$A$2:$A$201,0))))</f>
        <v/>
      </c>
      <c r="F66" s="20" t="str">
        <f>IF($A66="","",IF($N66&lt;&gt;"ACTIVO",0,INDEX(Empleados!$N$2:$N$201,MATCH($A66,Empleados!$A$2:$A$201,0))))</f>
        <v/>
      </c>
      <c r="G66" s="20" t="str">
        <f>IF($A66="","",IF($N66&lt;&gt;"ACTIVO",0,SUMIFS(Conceptos_Pago!$E$2:$E$100,Conceptos_Pago!$C$2:$C$100,"FIJO",Conceptos_Pago!$D$2:$D$100,"SI")))</f>
        <v/>
      </c>
      <c r="H66" s="20" t="str">
        <f>IF($A66="","",IF($N66&lt;&gt;"ACTIVO",0,SUMIFS(Movimientos!$F$2:$F$500,Movimientos!$A$2:$A$500,$B$2,Movimientos!$B$2:$B$500,$A66,Movimientos!$C$2:$C$500,"PAGO")))</f>
        <v/>
      </c>
      <c r="I66" s="20" t="str">
        <f t="shared" si="3"/>
        <v/>
      </c>
      <c r="J66" s="20" t="str">
        <f>IF($A66="","",IF($N66&lt;&gt;"ACTIVO",0,SUMIFS(Deducciones!$E$2:$E$100,Deducciones!$F$2:$F$100,"SI",Deducciones!$G$2:$G$100,"SI",Deducciones!$C$2:$C$100,"FIJO")+E66*SUMIFS(Deducciones!$E$2:$E$100,Deducciones!$F$2:$F$100,"SI",Deducciones!$G$2:$G$100,"SI",Deducciones!$C$2:$C$100,"PORCENTAJE",Deducciones!$D$2:$D$100,"SUELDO_BASE")+I66*SUMIFS(Deducciones!$E$2:$E$100,Deducciones!$F$2:$F$100,"SI",Deducciones!$G$2:$G$100,"SI",Deducciones!$C$2:$C$100,"PORCENTAJE",Deducciones!$D$2:$D$100,"TOTAL_PERCEPCIONES")))</f>
        <v/>
      </c>
      <c r="K66" s="20" t="str">
        <f>IF($A66="","",IF($N66&lt;&gt;"ACTIVO",0,SUMIFS(Movimientos!$F$2:$F$500,Movimientos!$A$2:$A$500,$B$2,Movimientos!$B$2:$B$500,$A66,Movimientos!$C$2:$C$500,"DEDUCCION")))</f>
        <v/>
      </c>
      <c r="L66" s="20" t="str">
        <f t="shared" si="4"/>
        <v/>
      </c>
      <c r="M66" s="20" t="str">
        <f t="shared" si="5"/>
        <v/>
      </c>
      <c r="N66" s="25" t="str">
        <f>IF($A66="","",INDEX(Empleados!$J$2:$J$201,MATCH($A66,Empleados!$A$2:$A$201,0)))</f>
        <v/>
      </c>
    </row>
    <row r="67" spans="1:14" x14ac:dyDescent="0.45">
      <c r="A67" s="24" t="str">
        <f>IF(ROW()-4&lt;=COUNTA(Empleados!$A$2:$A$201),INDEX(Empleados!$A$2:$A$201,ROW()-4),"")</f>
        <v/>
      </c>
      <c r="B67" s="25" t="str">
        <f>IF($A67="","",INDEX(Empleados!$E$2:$E$201,MATCH($A67,Empleados!$A$2:$A$201,0)))</f>
        <v/>
      </c>
      <c r="C67" s="25" t="str">
        <f>IF($A67="","",INDEX(Empleados!$O$2:$O$201,MATCH($A67,Empleados!$A$2:$A$201,0)))</f>
        <v/>
      </c>
      <c r="D67" s="25" t="str">
        <f>IF($A67="","",INDEX(Empleados!$P$2:$P$201,MATCH($A67,Empleados!$A$2:$A$201,0)))</f>
        <v/>
      </c>
      <c r="E67" s="20" t="str">
        <f>IF($A67="","",IF($N67&lt;&gt;"ACTIVO",0,INDEX(Empleados!$M$2:$M$201,MATCH($A67,Empleados!$A$2:$A$201,0))))</f>
        <v/>
      </c>
      <c r="F67" s="20" t="str">
        <f>IF($A67="","",IF($N67&lt;&gt;"ACTIVO",0,INDEX(Empleados!$N$2:$N$201,MATCH($A67,Empleados!$A$2:$A$201,0))))</f>
        <v/>
      </c>
      <c r="G67" s="20" t="str">
        <f>IF($A67="","",IF($N67&lt;&gt;"ACTIVO",0,SUMIFS(Conceptos_Pago!$E$2:$E$100,Conceptos_Pago!$C$2:$C$100,"FIJO",Conceptos_Pago!$D$2:$D$100,"SI")))</f>
        <v/>
      </c>
      <c r="H67" s="20" t="str">
        <f>IF($A67="","",IF($N67&lt;&gt;"ACTIVO",0,SUMIFS(Movimientos!$F$2:$F$500,Movimientos!$A$2:$A$500,$B$2,Movimientos!$B$2:$B$500,$A67,Movimientos!$C$2:$C$500,"PAGO")))</f>
        <v/>
      </c>
      <c r="I67" s="20" t="str">
        <f t="shared" si="3"/>
        <v/>
      </c>
      <c r="J67" s="20" t="str">
        <f>IF($A67="","",IF($N67&lt;&gt;"ACTIVO",0,SUMIFS(Deducciones!$E$2:$E$100,Deducciones!$F$2:$F$100,"SI",Deducciones!$G$2:$G$100,"SI",Deducciones!$C$2:$C$100,"FIJO")+E67*SUMIFS(Deducciones!$E$2:$E$100,Deducciones!$F$2:$F$100,"SI",Deducciones!$G$2:$G$100,"SI",Deducciones!$C$2:$C$100,"PORCENTAJE",Deducciones!$D$2:$D$100,"SUELDO_BASE")+I67*SUMIFS(Deducciones!$E$2:$E$100,Deducciones!$F$2:$F$100,"SI",Deducciones!$G$2:$G$100,"SI",Deducciones!$C$2:$C$100,"PORCENTAJE",Deducciones!$D$2:$D$100,"TOTAL_PERCEPCIONES")))</f>
        <v/>
      </c>
      <c r="K67" s="20" t="str">
        <f>IF($A67="","",IF($N67&lt;&gt;"ACTIVO",0,SUMIFS(Movimientos!$F$2:$F$500,Movimientos!$A$2:$A$500,$B$2,Movimientos!$B$2:$B$500,$A67,Movimientos!$C$2:$C$500,"DEDUCCION")))</f>
        <v/>
      </c>
      <c r="L67" s="20" t="str">
        <f t="shared" si="4"/>
        <v/>
      </c>
      <c r="M67" s="20" t="str">
        <f t="shared" si="5"/>
        <v/>
      </c>
      <c r="N67" s="25" t="str">
        <f>IF($A67="","",INDEX(Empleados!$J$2:$J$201,MATCH($A67,Empleados!$A$2:$A$201,0)))</f>
        <v/>
      </c>
    </row>
    <row r="68" spans="1:14" x14ac:dyDescent="0.45">
      <c r="A68" s="24" t="str">
        <f>IF(ROW()-4&lt;=COUNTA(Empleados!$A$2:$A$201),INDEX(Empleados!$A$2:$A$201,ROW()-4),"")</f>
        <v/>
      </c>
      <c r="B68" s="25" t="str">
        <f>IF($A68="","",INDEX(Empleados!$E$2:$E$201,MATCH($A68,Empleados!$A$2:$A$201,0)))</f>
        <v/>
      </c>
      <c r="C68" s="25" t="str">
        <f>IF($A68="","",INDEX(Empleados!$O$2:$O$201,MATCH($A68,Empleados!$A$2:$A$201,0)))</f>
        <v/>
      </c>
      <c r="D68" s="25" t="str">
        <f>IF($A68="","",INDEX(Empleados!$P$2:$P$201,MATCH($A68,Empleados!$A$2:$A$201,0)))</f>
        <v/>
      </c>
      <c r="E68" s="20" t="str">
        <f>IF($A68="","",IF($N68&lt;&gt;"ACTIVO",0,INDEX(Empleados!$M$2:$M$201,MATCH($A68,Empleados!$A$2:$A$201,0))))</f>
        <v/>
      </c>
      <c r="F68" s="20" t="str">
        <f>IF($A68="","",IF($N68&lt;&gt;"ACTIVO",0,INDEX(Empleados!$N$2:$N$201,MATCH($A68,Empleados!$A$2:$A$201,0))))</f>
        <v/>
      </c>
      <c r="G68" s="20" t="str">
        <f>IF($A68="","",IF($N68&lt;&gt;"ACTIVO",0,SUMIFS(Conceptos_Pago!$E$2:$E$100,Conceptos_Pago!$C$2:$C$100,"FIJO",Conceptos_Pago!$D$2:$D$100,"SI")))</f>
        <v/>
      </c>
      <c r="H68" s="20" t="str">
        <f>IF($A68="","",IF($N68&lt;&gt;"ACTIVO",0,SUMIFS(Movimientos!$F$2:$F$500,Movimientos!$A$2:$A$500,$B$2,Movimientos!$B$2:$B$500,$A68,Movimientos!$C$2:$C$500,"PAGO")))</f>
        <v/>
      </c>
      <c r="I68" s="20" t="str">
        <f t="shared" si="3"/>
        <v/>
      </c>
      <c r="J68" s="20" t="str">
        <f>IF($A68="","",IF($N68&lt;&gt;"ACTIVO",0,SUMIFS(Deducciones!$E$2:$E$100,Deducciones!$F$2:$F$100,"SI",Deducciones!$G$2:$G$100,"SI",Deducciones!$C$2:$C$100,"FIJO")+E68*SUMIFS(Deducciones!$E$2:$E$100,Deducciones!$F$2:$F$100,"SI",Deducciones!$G$2:$G$100,"SI",Deducciones!$C$2:$C$100,"PORCENTAJE",Deducciones!$D$2:$D$100,"SUELDO_BASE")+I68*SUMIFS(Deducciones!$E$2:$E$100,Deducciones!$F$2:$F$100,"SI",Deducciones!$G$2:$G$100,"SI",Deducciones!$C$2:$C$100,"PORCENTAJE",Deducciones!$D$2:$D$100,"TOTAL_PERCEPCIONES")))</f>
        <v/>
      </c>
      <c r="K68" s="20" t="str">
        <f>IF($A68="","",IF($N68&lt;&gt;"ACTIVO",0,SUMIFS(Movimientos!$F$2:$F$500,Movimientos!$A$2:$A$500,$B$2,Movimientos!$B$2:$B$500,$A68,Movimientos!$C$2:$C$500,"DEDUCCION")))</f>
        <v/>
      </c>
      <c r="L68" s="20" t="str">
        <f t="shared" si="4"/>
        <v/>
      </c>
      <c r="M68" s="20" t="str">
        <f t="shared" si="5"/>
        <v/>
      </c>
      <c r="N68" s="25" t="str">
        <f>IF($A68="","",INDEX(Empleados!$J$2:$J$201,MATCH($A68,Empleados!$A$2:$A$201,0)))</f>
        <v/>
      </c>
    </row>
    <row r="69" spans="1:14" x14ac:dyDescent="0.45">
      <c r="A69" s="24" t="str">
        <f>IF(ROW()-4&lt;=COUNTA(Empleados!$A$2:$A$201),INDEX(Empleados!$A$2:$A$201,ROW()-4),"")</f>
        <v/>
      </c>
      <c r="B69" s="25" t="str">
        <f>IF($A69="","",INDEX(Empleados!$E$2:$E$201,MATCH($A69,Empleados!$A$2:$A$201,0)))</f>
        <v/>
      </c>
      <c r="C69" s="25" t="str">
        <f>IF($A69="","",INDEX(Empleados!$O$2:$O$201,MATCH($A69,Empleados!$A$2:$A$201,0)))</f>
        <v/>
      </c>
      <c r="D69" s="25" t="str">
        <f>IF($A69="","",INDEX(Empleados!$P$2:$P$201,MATCH($A69,Empleados!$A$2:$A$201,0)))</f>
        <v/>
      </c>
      <c r="E69" s="20" t="str">
        <f>IF($A69="","",IF($N69&lt;&gt;"ACTIVO",0,INDEX(Empleados!$M$2:$M$201,MATCH($A69,Empleados!$A$2:$A$201,0))))</f>
        <v/>
      </c>
      <c r="F69" s="20" t="str">
        <f>IF($A69="","",IF($N69&lt;&gt;"ACTIVO",0,INDEX(Empleados!$N$2:$N$201,MATCH($A69,Empleados!$A$2:$A$201,0))))</f>
        <v/>
      </c>
      <c r="G69" s="20" t="str">
        <f>IF($A69="","",IF($N69&lt;&gt;"ACTIVO",0,SUMIFS(Conceptos_Pago!$E$2:$E$100,Conceptos_Pago!$C$2:$C$100,"FIJO",Conceptos_Pago!$D$2:$D$100,"SI")))</f>
        <v/>
      </c>
      <c r="H69" s="20" t="str">
        <f>IF($A69="","",IF($N69&lt;&gt;"ACTIVO",0,SUMIFS(Movimientos!$F$2:$F$500,Movimientos!$A$2:$A$500,$B$2,Movimientos!$B$2:$B$500,$A69,Movimientos!$C$2:$C$500,"PAGO")))</f>
        <v/>
      </c>
      <c r="I69" s="20" t="str">
        <f t="shared" ref="I69:I100" si="6">IF($A69="","",SUM(E69:H69))</f>
        <v/>
      </c>
      <c r="J69" s="20" t="str">
        <f>IF($A69="","",IF($N69&lt;&gt;"ACTIVO",0,SUMIFS(Deducciones!$E$2:$E$100,Deducciones!$F$2:$F$100,"SI",Deducciones!$G$2:$G$100,"SI",Deducciones!$C$2:$C$100,"FIJO")+E69*SUMIFS(Deducciones!$E$2:$E$100,Deducciones!$F$2:$F$100,"SI",Deducciones!$G$2:$G$100,"SI",Deducciones!$C$2:$C$100,"PORCENTAJE",Deducciones!$D$2:$D$100,"SUELDO_BASE")+I69*SUMIFS(Deducciones!$E$2:$E$100,Deducciones!$F$2:$F$100,"SI",Deducciones!$G$2:$G$100,"SI",Deducciones!$C$2:$C$100,"PORCENTAJE",Deducciones!$D$2:$D$100,"TOTAL_PERCEPCIONES")))</f>
        <v/>
      </c>
      <c r="K69" s="20" t="str">
        <f>IF($A69="","",IF($N69&lt;&gt;"ACTIVO",0,SUMIFS(Movimientos!$F$2:$F$500,Movimientos!$A$2:$A$500,$B$2,Movimientos!$B$2:$B$500,$A69,Movimientos!$C$2:$C$500,"DEDUCCION")))</f>
        <v/>
      </c>
      <c r="L69" s="20" t="str">
        <f t="shared" ref="L69:L100" si="7">IF($A69="","",SUM(J69:K69))</f>
        <v/>
      </c>
      <c r="M69" s="20" t="str">
        <f t="shared" ref="M69:M100" si="8">IF($A69="","",I69-L69)</f>
        <v/>
      </c>
      <c r="N69" s="25" t="str">
        <f>IF($A69="","",INDEX(Empleados!$J$2:$J$201,MATCH($A69,Empleados!$A$2:$A$201,0)))</f>
        <v/>
      </c>
    </row>
    <row r="70" spans="1:14" x14ac:dyDescent="0.45">
      <c r="A70" s="24" t="str">
        <f>IF(ROW()-4&lt;=COUNTA(Empleados!$A$2:$A$201),INDEX(Empleados!$A$2:$A$201,ROW()-4),"")</f>
        <v/>
      </c>
      <c r="B70" s="25" t="str">
        <f>IF($A70="","",INDEX(Empleados!$E$2:$E$201,MATCH($A70,Empleados!$A$2:$A$201,0)))</f>
        <v/>
      </c>
      <c r="C70" s="25" t="str">
        <f>IF($A70="","",INDEX(Empleados!$O$2:$O$201,MATCH($A70,Empleados!$A$2:$A$201,0)))</f>
        <v/>
      </c>
      <c r="D70" s="25" t="str">
        <f>IF($A70="","",INDEX(Empleados!$P$2:$P$201,MATCH($A70,Empleados!$A$2:$A$201,0)))</f>
        <v/>
      </c>
      <c r="E70" s="20" t="str">
        <f>IF($A70="","",IF($N70&lt;&gt;"ACTIVO",0,INDEX(Empleados!$M$2:$M$201,MATCH($A70,Empleados!$A$2:$A$201,0))))</f>
        <v/>
      </c>
      <c r="F70" s="20" t="str">
        <f>IF($A70="","",IF($N70&lt;&gt;"ACTIVO",0,INDEX(Empleados!$N$2:$N$201,MATCH($A70,Empleados!$A$2:$A$201,0))))</f>
        <v/>
      </c>
      <c r="G70" s="20" t="str">
        <f>IF($A70="","",IF($N70&lt;&gt;"ACTIVO",0,SUMIFS(Conceptos_Pago!$E$2:$E$100,Conceptos_Pago!$C$2:$C$100,"FIJO",Conceptos_Pago!$D$2:$D$100,"SI")))</f>
        <v/>
      </c>
      <c r="H70" s="20" t="str">
        <f>IF($A70="","",IF($N70&lt;&gt;"ACTIVO",0,SUMIFS(Movimientos!$F$2:$F$500,Movimientos!$A$2:$A$500,$B$2,Movimientos!$B$2:$B$500,$A70,Movimientos!$C$2:$C$500,"PAGO")))</f>
        <v/>
      </c>
      <c r="I70" s="20" t="str">
        <f t="shared" si="6"/>
        <v/>
      </c>
      <c r="J70" s="20" t="str">
        <f>IF($A70="","",IF($N70&lt;&gt;"ACTIVO",0,SUMIFS(Deducciones!$E$2:$E$100,Deducciones!$F$2:$F$100,"SI",Deducciones!$G$2:$G$100,"SI",Deducciones!$C$2:$C$100,"FIJO")+E70*SUMIFS(Deducciones!$E$2:$E$100,Deducciones!$F$2:$F$100,"SI",Deducciones!$G$2:$G$100,"SI",Deducciones!$C$2:$C$100,"PORCENTAJE",Deducciones!$D$2:$D$100,"SUELDO_BASE")+I70*SUMIFS(Deducciones!$E$2:$E$100,Deducciones!$F$2:$F$100,"SI",Deducciones!$G$2:$G$100,"SI",Deducciones!$C$2:$C$100,"PORCENTAJE",Deducciones!$D$2:$D$100,"TOTAL_PERCEPCIONES")))</f>
        <v/>
      </c>
      <c r="K70" s="20" t="str">
        <f>IF($A70="","",IF($N70&lt;&gt;"ACTIVO",0,SUMIFS(Movimientos!$F$2:$F$500,Movimientos!$A$2:$A$500,$B$2,Movimientos!$B$2:$B$500,$A70,Movimientos!$C$2:$C$500,"DEDUCCION")))</f>
        <v/>
      </c>
      <c r="L70" s="20" t="str">
        <f t="shared" si="7"/>
        <v/>
      </c>
      <c r="M70" s="20" t="str">
        <f t="shared" si="8"/>
        <v/>
      </c>
      <c r="N70" s="25" t="str">
        <f>IF($A70="","",INDEX(Empleados!$J$2:$J$201,MATCH($A70,Empleados!$A$2:$A$201,0)))</f>
        <v/>
      </c>
    </row>
    <row r="71" spans="1:14" x14ac:dyDescent="0.45">
      <c r="A71" s="24" t="str">
        <f>IF(ROW()-4&lt;=COUNTA(Empleados!$A$2:$A$201),INDEX(Empleados!$A$2:$A$201,ROW()-4),"")</f>
        <v/>
      </c>
      <c r="B71" s="25" t="str">
        <f>IF($A71="","",INDEX(Empleados!$E$2:$E$201,MATCH($A71,Empleados!$A$2:$A$201,0)))</f>
        <v/>
      </c>
      <c r="C71" s="25" t="str">
        <f>IF($A71="","",INDEX(Empleados!$O$2:$O$201,MATCH($A71,Empleados!$A$2:$A$201,0)))</f>
        <v/>
      </c>
      <c r="D71" s="25" t="str">
        <f>IF($A71="","",INDEX(Empleados!$P$2:$P$201,MATCH($A71,Empleados!$A$2:$A$201,0)))</f>
        <v/>
      </c>
      <c r="E71" s="20" t="str">
        <f>IF($A71="","",IF($N71&lt;&gt;"ACTIVO",0,INDEX(Empleados!$M$2:$M$201,MATCH($A71,Empleados!$A$2:$A$201,0))))</f>
        <v/>
      </c>
      <c r="F71" s="20" t="str">
        <f>IF($A71="","",IF($N71&lt;&gt;"ACTIVO",0,INDEX(Empleados!$N$2:$N$201,MATCH($A71,Empleados!$A$2:$A$201,0))))</f>
        <v/>
      </c>
      <c r="G71" s="20" t="str">
        <f>IF($A71="","",IF($N71&lt;&gt;"ACTIVO",0,SUMIFS(Conceptos_Pago!$E$2:$E$100,Conceptos_Pago!$C$2:$C$100,"FIJO",Conceptos_Pago!$D$2:$D$100,"SI")))</f>
        <v/>
      </c>
      <c r="H71" s="20" t="str">
        <f>IF($A71="","",IF($N71&lt;&gt;"ACTIVO",0,SUMIFS(Movimientos!$F$2:$F$500,Movimientos!$A$2:$A$500,$B$2,Movimientos!$B$2:$B$500,$A71,Movimientos!$C$2:$C$500,"PAGO")))</f>
        <v/>
      </c>
      <c r="I71" s="20" t="str">
        <f t="shared" si="6"/>
        <v/>
      </c>
      <c r="J71" s="20" t="str">
        <f>IF($A71="","",IF($N71&lt;&gt;"ACTIVO",0,SUMIFS(Deducciones!$E$2:$E$100,Deducciones!$F$2:$F$100,"SI",Deducciones!$G$2:$G$100,"SI",Deducciones!$C$2:$C$100,"FIJO")+E71*SUMIFS(Deducciones!$E$2:$E$100,Deducciones!$F$2:$F$100,"SI",Deducciones!$G$2:$G$100,"SI",Deducciones!$C$2:$C$100,"PORCENTAJE",Deducciones!$D$2:$D$100,"SUELDO_BASE")+I71*SUMIFS(Deducciones!$E$2:$E$100,Deducciones!$F$2:$F$100,"SI",Deducciones!$G$2:$G$100,"SI",Deducciones!$C$2:$C$100,"PORCENTAJE",Deducciones!$D$2:$D$100,"TOTAL_PERCEPCIONES")))</f>
        <v/>
      </c>
      <c r="K71" s="20" t="str">
        <f>IF($A71="","",IF($N71&lt;&gt;"ACTIVO",0,SUMIFS(Movimientos!$F$2:$F$500,Movimientos!$A$2:$A$500,$B$2,Movimientos!$B$2:$B$500,$A71,Movimientos!$C$2:$C$500,"DEDUCCION")))</f>
        <v/>
      </c>
      <c r="L71" s="20" t="str">
        <f t="shared" si="7"/>
        <v/>
      </c>
      <c r="M71" s="20" t="str">
        <f t="shared" si="8"/>
        <v/>
      </c>
      <c r="N71" s="25" t="str">
        <f>IF($A71="","",INDEX(Empleados!$J$2:$J$201,MATCH($A71,Empleados!$A$2:$A$201,0)))</f>
        <v/>
      </c>
    </row>
    <row r="72" spans="1:14" x14ac:dyDescent="0.45">
      <c r="A72" s="24" t="str">
        <f>IF(ROW()-4&lt;=COUNTA(Empleados!$A$2:$A$201),INDEX(Empleados!$A$2:$A$201,ROW()-4),"")</f>
        <v/>
      </c>
      <c r="B72" s="25" t="str">
        <f>IF($A72="","",INDEX(Empleados!$E$2:$E$201,MATCH($A72,Empleados!$A$2:$A$201,0)))</f>
        <v/>
      </c>
      <c r="C72" s="25" t="str">
        <f>IF($A72="","",INDEX(Empleados!$O$2:$O$201,MATCH($A72,Empleados!$A$2:$A$201,0)))</f>
        <v/>
      </c>
      <c r="D72" s="25" t="str">
        <f>IF($A72="","",INDEX(Empleados!$P$2:$P$201,MATCH($A72,Empleados!$A$2:$A$201,0)))</f>
        <v/>
      </c>
      <c r="E72" s="20" t="str">
        <f>IF($A72="","",IF($N72&lt;&gt;"ACTIVO",0,INDEX(Empleados!$M$2:$M$201,MATCH($A72,Empleados!$A$2:$A$201,0))))</f>
        <v/>
      </c>
      <c r="F72" s="20" t="str">
        <f>IF($A72="","",IF($N72&lt;&gt;"ACTIVO",0,INDEX(Empleados!$N$2:$N$201,MATCH($A72,Empleados!$A$2:$A$201,0))))</f>
        <v/>
      </c>
      <c r="G72" s="20" t="str">
        <f>IF($A72="","",IF($N72&lt;&gt;"ACTIVO",0,SUMIFS(Conceptos_Pago!$E$2:$E$100,Conceptos_Pago!$C$2:$C$100,"FIJO",Conceptos_Pago!$D$2:$D$100,"SI")))</f>
        <v/>
      </c>
      <c r="H72" s="20" t="str">
        <f>IF($A72="","",IF($N72&lt;&gt;"ACTIVO",0,SUMIFS(Movimientos!$F$2:$F$500,Movimientos!$A$2:$A$500,$B$2,Movimientos!$B$2:$B$500,$A72,Movimientos!$C$2:$C$500,"PAGO")))</f>
        <v/>
      </c>
      <c r="I72" s="20" t="str">
        <f t="shared" si="6"/>
        <v/>
      </c>
      <c r="J72" s="20" t="str">
        <f>IF($A72="","",IF($N72&lt;&gt;"ACTIVO",0,SUMIFS(Deducciones!$E$2:$E$100,Deducciones!$F$2:$F$100,"SI",Deducciones!$G$2:$G$100,"SI",Deducciones!$C$2:$C$100,"FIJO")+E72*SUMIFS(Deducciones!$E$2:$E$100,Deducciones!$F$2:$F$100,"SI",Deducciones!$G$2:$G$100,"SI",Deducciones!$C$2:$C$100,"PORCENTAJE",Deducciones!$D$2:$D$100,"SUELDO_BASE")+I72*SUMIFS(Deducciones!$E$2:$E$100,Deducciones!$F$2:$F$100,"SI",Deducciones!$G$2:$G$100,"SI",Deducciones!$C$2:$C$100,"PORCENTAJE",Deducciones!$D$2:$D$100,"TOTAL_PERCEPCIONES")))</f>
        <v/>
      </c>
      <c r="K72" s="20" t="str">
        <f>IF($A72="","",IF($N72&lt;&gt;"ACTIVO",0,SUMIFS(Movimientos!$F$2:$F$500,Movimientos!$A$2:$A$500,$B$2,Movimientos!$B$2:$B$500,$A72,Movimientos!$C$2:$C$500,"DEDUCCION")))</f>
        <v/>
      </c>
      <c r="L72" s="20" t="str">
        <f t="shared" si="7"/>
        <v/>
      </c>
      <c r="M72" s="20" t="str">
        <f t="shared" si="8"/>
        <v/>
      </c>
      <c r="N72" s="25" t="str">
        <f>IF($A72="","",INDEX(Empleados!$J$2:$J$201,MATCH($A72,Empleados!$A$2:$A$201,0)))</f>
        <v/>
      </c>
    </row>
    <row r="73" spans="1:14" x14ac:dyDescent="0.45">
      <c r="A73" s="24" t="str">
        <f>IF(ROW()-4&lt;=COUNTA(Empleados!$A$2:$A$201),INDEX(Empleados!$A$2:$A$201,ROW()-4),"")</f>
        <v/>
      </c>
      <c r="B73" s="25" t="str">
        <f>IF($A73="","",INDEX(Empleados!$E$2:$E$201,MATCH($A73,Empleados!$A$2:$A$201,0)))</f>
        <v/>
      </c>
      <c r="C73" s="25" t="str">
        <f>IF($A73="","",INDEX(Empleados!$O$2:$O$201,MATCH($A73,Empleados!$A$2:$A$201,0)))</f>
        <v/>
      </c>
      <c r="D73" s="25" t="str">
        <f>IF($A73="","",INDEX(Empleados!$P$2:$P$201,MATCH($A73,Empleados!$A$2:$A$201,0)))</f>
        <v/>
      </c>
      <c r="E73" s="20" t="str">
        <f>IF($A73="","",IF($N73&lt;&gt;"ACTIVO",0,INDEX(Empleados!$M$2:$M$201,MATCH($A73,Empleados!$A$2:$A$201,0))))</f>
        <v/>
      </c>
      <c r="F73" s="20" t="str">
        <f>IF($A73="","",IF($N73&lt;&gt;"ACTIVO",0,INDEX(Empleados!$N$2:$N$201,MATCH($A73,Empleados!$A$2:$A$201,0))))</f>
        <v/>
      </c>
      <c r="G73" s="20" t="str">
        <f>IF($A73="","",IF($N73&lt;&gt;"ACTIVO",0,SUMIFS(Conceptos_Pago!$E$2:$E$100,Conceptos_Pago!$C$2:$C$100,"FIJO",Conceptos_Pago!$D$2:$D$100,"SI")))</f>
        <v/>
      </c>
      <c r="H73" s="20" t="str">
        <f>IF($A73="","",IF($N73&lt;&gt;"ACTIVO",0,SUMIFS(Movimientos!$F$2:$F$500,Movimientos!$A$2:$A$500,$B$2,Movimientos!$B$2:$B$500,$A73,Movimientos!$C$2:$C$500,"PAGO")))</f>
        <v/>
      </c>
      <c r="I73" s="20" t="str">
        <f t="shared" si="6"/>
        <v/>
      </c>
      <c r="J73" s="20" t="str">
        <f>IF($A73="","",IF($N73&lt;&gt;"ACTIVO",0,SUMIFS(Deducciones!$E$2:$E$100,Deducciones!$F$2:$F$100,"SI",Deducciones!$G$2:$G$100,"SI",Deducciones!$C$2:$C$100,"FIJO")+E73*SUMIFS(Deducciones!$E$2:$E$100,Deducciones!$F$2:$F$100,"SI",Deducciones!$G$2:$G$100,"SI",Deducciones!$C$2:$C$100,"PORCENTAJE",Deducciones!$D$2:$D$100,"SUELDO_BASE")+I73*SUMIFS(Deducciones!$E$2:$E$100,Deducciones!$F$2:$F$100,"SI",Deducciones!$G$2:$G$100,"SI",Deducciones!$C$2:$C$100,"PORCENTAJE",Deducciones!$D$2:$D$100,"TOTAL_PERCEPCIONES")))</f>
        <v/>
      </c>
      <c r="K73" s="20" t="str">
        <f>IF($A73="","",IF($N73&lt;&gt;"ACTIVO",0,SUMIFS(Movimientos!$F$2:$F$500,Movimientos!$A$2:$A$500,$B$2,Movimientos!$B$2:$B$500,$A73,Movimientos!$C$2:$C$500,"DEDUCCION")))</f>
        <v/>
      </c>
      <c r="L73" s="20" t="str">
        <f t="shared" si="7"/>
        <v/>
      </c>
      <c r="M73" s="20" t="str">
        <f t="shared" si="8"/>
        <v/>
      </c>
      <c r="N73" s="25" t="str">
        <f>IF($A73="","",INDEX(Empleados!$J$2:$J$201,MATCH($A73,Empleados!$A$2:$A$201,0)))</f>
        <v/>
      </c>
    </row>
    <row r="74" spans="1:14" x14ac:dyDescent="0.45">
      <c r="A74" s="24" t="str">
        <f>IF(ROW()-4&lt;=COUNTA(Empleados!$A$2:$A$201),INDEX(Empleados!$A$2:$A$201,ROW()-4),"")</f>
        <v/>
      </c>
      <c r="B74" s="25" t="str">
        <f>IF($A74="","",INDEX(Empleados!$E$2:$E$201,MATCH($A74,Empleados!$A$2:$A$201,0)))</f>
        <v/>
      </c>
      <c r="C74" s="25" t="str">
        <f>IF($A74="","",INDEX(Empleados!$O$2:$O$201,MATCH($A74,Empleados!$A$2:$A$201,0)))</f>
        <v/>
      </c>
      <c r="D74" s="25" t="str">
        <f>IF($A74="","",INDEX(Empleados!$P$2:$P$201,MATCH($A74,Empleados!$A$2:$A$201,0)))</f>
        <v/>
      </c>
      <c r="E74" s="20" t="str">
        <f>IF($A74="","",IF($N74&lt;&gt;"ACTIVO",0,INDEX(Empleados!$M$2:$M$201,MATCH($A74,Empleados!$A$2:$A$201,0))))</f>
        <v/>
      </c>
      <c r="F74" s="20" t="str">
        <f>IF($A74="","",IF($N74&lt;&gt;"ACTIVO",0,INDEX(Empleados!$N$2:$N$201,MATCH($A74,Empleados!$A$2:$A$201,0))))</f>
        <v/>
      </c>
      <c r="G74" s="20" t="str">
        <f>IF($A74="","",IF($N74&lt;&gt;"ACTIVO",0,SUMIFS(Conceptos_Pago!$E$2:$E$100,Conceptos_Pago!$C$2:$C$100,"FIJO",Conceptos_Pago!$D$2:$D$100,"SI")))</f>
        <v/>
      </c>
      <c r="H74" s="20" t="str">
        <f>IF($A74="","",IF($N74&lt;&gt;"ACTIVO",0,SUMIFS(Movimientos!$F$2:$F$500,Movimientos!$A$2:$A$500,$B$2,Movimientos!$B$2:$B$500,$A74,Movimientos!$C$2:$C$500,"PAGO")))</f>
        <v/>
      </c>
      <c r="I74" s="20" t="str">
        <f t="shared" si="6"/>
        <v/>
      </c>
      <c r="J74" s="20" t="str">
        <f>IF($A74="","",IF($N74&lt;&gt;"ACTIVO",0,SUMIFS(Deducciones!$E$2:$E$100,Deducciones!$F$2:$F$100,"SI",Deducciones!$G$2:$G$100,"SI",Deducciones!$C$2:$C$100,"FIJO")+E74*SUMIFS(Deducciones!$E$2:$E$100,Deducciones!$F$2:$F$100,"SI",Deducciones!$G$2:$G$100,"SI",Deducciones!$C$2:$C$100,"PORCENTAJE",Deducciones!$D$2:$D$100,"SUELDO_BASE")+I74*SUMIFS(Deducciones!$E$2:$E$100,Deducciones!$F$2:$F$100,"SI",Deducciones!$G$2:$G$100,"SI",Deducciones!$C$2:$C$100,"PORCENTAJE",Deducciones!$D$2:$D$100,"TOTAL_PERCEPCIONES")))</f>
        <v/>
      </c>
      <c r="K74" s="20" t="str">
        <f>IF($A74="","",IF($N74&lt;&gt;"ACTIVO",0,SUMIFS(Movimientos!$F$2:$F$500,Movimientos!$A$2:$A$500,$B$2,Movimientos!$B$2:$B$500,$A74,Movimientos!$C$2:$C$500,"DEDUCCION")))</f>
        <v/>
      </c>
      <c r="L74" s="20" t="str">
        <f t="shared" si="7"/>
        <v/>
      </c>
      <c r="M74" s="20" t="str">
        <f t="shared" si="8"/>
        <v/>
      </c>
      <c r="N74" s="25" t="str">
        <f>IF($A74="","",INDEX(Empleados!$J$2:$J$201,MATCH($A74,Empleados!$A$2:$A$201,0)))</f>
        <v/>
      </c>
    </row>
    <row r="75" spans="1:14" x14ac:dyDescent="0.45">
      <c r="A75" s="24" t="str">
        <f>IF(ROW()-4&lt;=COUNTA(Empleados!$A$2:$A$201),INDEX(Empleados!$A$2:$A$201,ROW()-4),"")</f>
        <v/>
      </c>
      <c r="B75" s="25" t="str">
        <f>IF($A75="","",INDEX(Empleados!$E$2:$E$201,MATCH($A75,Empleados!$A$2:$A$201,0)))</f>
        <v/>
      </c>
      <c r="C75" s="25" t="str">
        <f>IF($A75="","",INDEX(Empleados!$O$2:$O$201,MATCH($A75,Empleados!$A$2:$A$201,0)))</f>
        <v/>
      </c>
      <c r="D75" s="25" t="str">
        <f>IF($A75="","",INDEX(Empleados!$P$2:$P$201,MATCH($A75,Empleados!$A$2:$A$201,0)))</f>
        <v/>
      </c>
      <c r="E75" s="20" t="str">
        <f>IF($A75="","",IF($N75&lt;&gt;"ACTIVO",0,INDEX(Empleados!$M$2:$M$201,MATCH($A75,Empleados!$A$2:$A$201,0))))</f>
        <v/>
      </c>
      <c r="F75" s="20" t="str">
        <f>IF($A75="","",IF($N75&lt;&gt;"ACTIVO",0,INDEX(Empleados!$N$2:$N$201,MATCH($A75,Empleados!$A$2:$A$201,0))))</f>
        <v/>
      </c>
      <c r="G75" s="20" t="str">
        <f>IF($A75="","",IF($N75&lt;&gt;"ACTIVO",0,SUMIFS(Conceptos_Pago!$E$2:$E$100,Conceptos_Pago!$C$2:$C$100,"FIJO",Conceptos_Pago!$D$2:$D$100,"SI")))</f>
        <v/>
      </c>
      <c r="H75" s="20" t="str">
        <f>IF($A75="","",IF($N75&lt;&gt;"ACTIVO",0,SUMIFS(Movimientos!$F$2:$F$500,Movimientos!$A$2:$A$500,$B$2,Movimientos!$B$2:$B$500,$A75,Movimientos!$C$2:$C$500,"PAGO")))</f>
        <v/>
      </c>
      <c r="I75" s="20" t="str">
        <f t="shared" si="6"/>
        <v/>
      </c>
      <c r="J75" s="20" t="str">
        <f>IF($A75="","",IF($N75&lt;&gt;"ACTIVO",0,SUMIFS(Deducciones!$E$2:$E$100,Deducciones!$F$2:$F$100,"SI",Deducciones!$G$2:$G$100,"SI",Deducciones!$C$2:$C$100,"FIJO")+E75*SUMIFS(Deducciones!$E$2:$E$100,Deducciones!$F$2:$F$100,"SI",Deducciones!$G$2:$G$100,"SI",Deducciones!$C$2:$C$100,"PORCENTAJE",Deducciones!$D$2:$D$100,"SUELDO_BASE")+I75*SUMIFS(Deducciones!$E$2:$E$100,Deducciones!$F$2:$F$100,"SI",Deducciones!$G$2:$G$100,"SI",Deducciones!$C$2:$C$100,"PORCENTAJE",Deducciones!$D$2:$D$100,"TOTAL_PERCEPCIONES")))</f>
        <v/>
      </c>
      <c r="K75" s="20" t="str">
        <f>IF($A75="","",IF($N75&lt;&gt;"ACTIVO",0,SUMIFS(Movimientos!$F$2:$F$500,Movimientos!$A$2:$A$500,$B$2,Movimientos!$B$2:$B$500,$A75,Movimientos!$C$2:$C$500,"DEDUCCION")))</f>
        <v/>
      </c>
      <c r="L75" s="20" t="str">
        <f t="shared" si="7"/>
        <v/>
      </c>
      <c r="M75" s="20" t="str">
        <f t="shared" si="8"/>
        <v/>
      </c>
      <c r="N75" s="25" t="str">
        <f>IF($A75="","",INDEX(Empleados!$J$2:$J$201,MATCH($A75,Empleados!$A$2:$A$201,0)))</f>
        <v/>
      </c>
    </row>
    <row r="76" spans="1:14" x14ac:dyDescent="0.45">
      <c r="A76" s="24" t="str">
        <f>IF(ROW()-4&lt;=COUNTA(Empleados!$A$2:$A$201),INDEX(Empleados!$A$2:$A$201,ROW()-4),"")</f>
        <v/>
      </c>
      <c r="B76" s="25" t="str">
        <f>IF($A76="","",INDEX(Empleados!$E$2:$E$201,MATCH($A76,Empleados!$A$2:$A$201,0)))</f>
        <v/>
      </c>
      <c r="C76" s="25" t="str">
        <f>IF($A76="","",INDEX(Empleados!$O$2:$O$201,MATCH($A76,Empleados!$A$2:$A$201,0)))</f>
        <v/>
      </c>
      <c r="D76" s="25" t="str">
        <f>IF($A76="","",INDEX(Empleados!$P$2:$P$201,MATCH($A76,Empleados!$A$2:$A$201,0)))</f>
        <v/>
      </c>
      <c r="E76" s="20" t="str">
        <f>IF($A76="","",IF($N76&lt;&gt;"ACTIVO",0,INDEX(Empleados!$M$2:$M$201,MATCH($A76,Empleados!$A$2:$A$201,0))))</f>
        <v/>
      </c>
      <c r="F76" s="20" t="str">
        <f>IF($A76="","",IF($N76&lt;&gt;"ACTIVO",0,INDEX(Empleados!$N$2:$N$201,MATCH($A76,Empleados!$A$2:$A$201,0))))</f>
        <v/>
      </c>
      <c r="G76" s="20" t="str">
        <f>IF($A76="","",IF($N76&lt;&gt;"ACTIVO",0,SUMIFS(Conceptos_Pago!$E$2:$E$100,Conceptos_Pago!$C$2:$C$100,"FIJO",Conceptos_Pago!$D$2:$D$100,"SI")))</f>
        <v/>
      </c>
      <c r="H76" s="20" t="str">
        <f>IF($A76="","",IF($N76&lt;&gt;"ACTIVO",0,SUMIFS(Movimientos!$F$2:$F$500,Movimientos!$A$2:$A$500,$B$2,Movimientos!$B$2:$B$500,$A76,Movimientos!$C$2:$C$500,"PAGO")))</f>
        <v/>
      </c>
      <c r="I76" s="20" t="str">
        <f t="shared" si="6"/>
        <v/>
      </c>
      <c r="J76" s="20" t="str">
        <f>IF($A76="","",IF($N76&lt;&gt;"ACTIVO",0,SUMIFS(Deducciones!$E$2:$E$100,Deducciones!$F$2:$F$100,"SI",Deducciones!$G$2:$G$100,"SI",Deducciones!$C$2:$C$100,"FIJO")+E76*SUMIFS(Deducciones!$E$2:$E$100,Deducciones!$F$2:$F$100,"SI",Deducciones!$G$2:$G$100,"SI",Deducciones!$C$2:$C$100,"PORCENTAJE",Deducciones!$D$2:$D$100,"SUELDO_BASE")+I76*SUMIFS(Deducciones!$E$2:$E$100,Deducciones!$F$2:$F$100,"SI",Deducciones!$G$2:$G$100,"SI",Deducciones!$C$2:$C$100,"PORCENTAJE",Deducciones!$D$2:$D$100,"TOTAL_PERCEPCIONES")))</f>
        <v/>
      </c>
      <c r="K76" s="20" t="str">
        <f>IF($A76="","",IF($N76&lt;&gt;"ACTIVO",0,SUMIFS(Movimientos!$F$2:$F$500,Movimientos!$A$2:$A$500,$B$2,Movimientos!$B$2:$B$500,$A76,Movimientos!$C$2:$C$500,"DEDUCCION")))</f>
        <v/>
      </c>
      <c r="L76" s="20" t="str">
        <f t="shared" si="7"/>
        <v/>
      </c>
      <c r="M76" s="20" t="str">
        <f t="shared" si="8"/>
        <v/>
      </c>
      <c r="N76" s="25" t="str">
        <f>IF($A76="","",INDEX(Empleados!$J$2:$J$201,MATCH($A76,Empleados!$A$2:$A$201,0)))</f>
        <v/>
      </c>
    </row>
    <row r="77" spans="1:14" x14ac:dyDescent="0.45">
      <c r="A77" s="24" t="str">
        <f>IF(ROW()-4&lt;=COUNTA(Empleados!$A$2:$A$201),INDEX(Empleados!$A$2:$A$201,ROW()-4),"")</f>
        <v/>
      </c>
      <c r="B77" s="25" t="str">
        <f>IF($A77="","",INDEX(Empleados!$E$2:$E$201,MATCH($A77,Empleados!$A$2:$A$201,0)))</f>
        <v/>
      </c>
      <c r="C77" s="25" t="str">
        <f>IF($A77="","",INDEX(Empleados!$O$2:$O$201,MATCH($A77,Empleados!$A$2:$A$201,0)))</f>
        <v/>
      </c>
      <c r="D77" s="25" t="str">
        <f>IF($A77="","",INDEX(Empleados!$P$2:$P$201,MATCH($A77,Empleados!$A$2:$A$201,0)))</f>
        <v/>
      </c>
      <c r="E77" s="20" t="str">
        <f>IF($A77="","",IF($N77&lt;&gt;"ACTIVO",0,INDEX(Empleados!$M$2:$M$201,MATCH($A77,Empleados!$A$2:$A$201,0))))</f>
        <v/>
      </c>
      <c r="F77" s="20" t="str">
        <f>IF($A77="","",IF($N77&lt;&gt;"ACTIVO",0,INDEX(Empleados!$N$2:$N$201,MATCH($A77,Empleados!$A$2:$A$201,0))))</f>
        <v/>
      </c>
      <c r="G77" s="20" t="str">
        <f>IF($A77="","",IF($N77&lt;&gt;"ACTIVO",0,SUMIFS(Conceptos_Pago!$E$2:$E$100,Conceptos_Pago!$C$2:$C$100,"FIJO",Conceptos_Pago!$D$2:$D$100,"SI")))</f>
        <v/>
      </c>
      <c r="H77" s="20" t="str">
        <f>IF($A77="","",IF($N77&lt;&gt;"ACTIVO",0,SUMIFS(Movimientos!$F$2:$F$500,Movimientos!$A$2:$A$500,$B$2,Movimientos!$B$2:$B$500,$A77,Movimientos!$C$2:$C$500,"PAGO")))</f>
        <v/>
      </c>
      <c r="I77" s="20" t="str">
        <f t="shared" si="6"/>
        <v/>
      </c>
      <c r="J77" s="20" t="str">
        <f>IF($A77="","",IF($N77&lt;&gt;"ACTIVO",0,SUMIFS(Deducciones!$E$2:$E$100,Deducciones!$F$2:$F$100,"SI",Deducciones!$G$2:$G$100,"SI",Deducciones!$C$2:$C$100,"FIJO")+E77*SUMIFS(Deducciones!$E$2:$E$100,Deducciones!$F$2:$F$100,"SI",Deducciones!$G$2:$G$100,"SI",Deducciones!$C$2:$C$100,"PORCENTAJE",Deducciones!$D$2:$D$100,"SUELDO_BASE")+I77*SUMIFS(Deducciones!$E$2:$E$100,Deducciones!$F$2:$F$100,"SI",Deducciones!$G$2:$G$100,"SI",Deducciones!$C$2:$C$100,"PORCENTAJE",Deducciones!$D$2:$D$100,"TOTAL_PERCEPCIONES")))</f>
        <v/>
      </c>
      <c r="K77" s="20" t="str">
        <f>IF($A77="","",IF($N77&lt;&gt;"ACTIVO",0,SUMIFS(Movimientos!$F$2:$F$500,Movimientos!$A$2:$A$500,$B$2,Movimientos!$B$2:$B$500,$A77,Movimientos!$C$2:$C$500,"DEDUCCION")))</f>
        <v/>
      </c>
      <c r="L77" s="20" t="str">
        <f t="shared" si="7"/>
        <v/>
      </c>
      <c r="M77" s="20" t="str">
        <f t="shared" si="8"/>
        <v/>
      </c>
      <c r="N77" s="25" t="str">
        <f>IF($A77="","",INDEX(Empleados!$J$2:$J$201,MATCH($A77,Empleados!$A$2:$A$201,0)))</f>
        <v/>
      </c>
    </row>
    <row r="78" spans="1:14" x14ac:dyDescent="0.45">
      <c r="A78" s="24" t="str">
        <f>IF(ROW()-4&lt;=COUNTA(Empleados!$A$2:$A$201),INDEX(Empleados!$A$2:$A$201,ROW()-4),"")</f>
        <v/>
      </c>
      <c r="B78" s="25" t="str">
        <f>IF($A78="","",INDEX(Empleados!$E$2:$E$201,MATCH($A78,Empleados!$A$2:$A$201,0)))</f>
        <v/>
      </c>
      <c r="C78" s="25" t="str">
        <f>IF($A78="","",INDEX(Empleados!$O$2:$O$201,MATCH($A78,Empleados!$A$2:$A$201,0)))</f>
        <v/>
      </c>
      <c r="D78" s="25" t="str">
        <f>IF($A78="","",INDEX(Empleados!$P$2:$P$201,MATCH($A78,Empleados!$A$2:$A$201,0)))</f>
        <v/>
      </c>
      <c r="E78" s="20" t="str">
        <f>IF($A78="","",IF($N78&lt;&gt;"ACTIVO",0,INDEX(Empleados!$M$2:$M$201,MATCH($A78,Empleados!$A$2:$A$201,0))))</f>
        <v/>
      </c>
      <c r="F78" s="20" t="str">
        <f>IF($A78="","",IF($N78&lt;&gt;"ACTIVO",0,INDEX(Empleados!$N$2:$N$201,MATCH($A78,Empleados!$A$2:$A$201,0))))</f>
        <v/>
      </c>
      <c r="G78" s="20" t="str">
        <f>IF($A78="","",IF($N78&lt;&gt;"ACTIVO",0,SUMIFS(Conceptos_Pago!$E$2:$E$100,Conceptos_Pago!$C$2:$C$100,"FIJO",Conceptos_Pago!$D$2:$D$100,"SI")))</f>
        <v/>
      </c>
      <c r="H78" s="20" t="str">
        <f>IF($A78="","",IF($N78&lt;&gt;"ACTIVO",0,SUMIFS(Movimientos!$F$2:$F$500,Movimientos!$A$2:$A$500,$B$2,Movimientos!$B$2:$B$500,$A78,Movimientos!$C$2:$C$500,"PAGO")))</f>
        <v/>
      </c>
      <c r="I78" s="20" t="str">
        <f t="shared" si="6"/>
        <v/>
      </c>
      <c r="J78" s="20" t="str">
        <f>IF($A78="","",IF($N78&lt;&gt;"ACTIVO",0,SUMIFS(Deducciones!$E$2:$E$100,Deducciones!$F$2:$F$100,"SI",Deducciones!$G$2:$G$100,"SI",Deducciones!$C$2:$C$100,"FIJO")+E78*SUMIFS(Deducciones!$E$2:$E$100,Deducciones!$F$2:$F$100,"SI",Deducciones!$G$2:$G$100,"SI",Deducciones!$C$2:$C$100,"PORCENTAJE",Deducciones!$D$2:$D$100,"SUELDO_BASE")+I78*SUMIFS(Deducciones!$E$2:$E$100,Deducciones!$F$2:$F$100,"SI",Deducciones!$G$2:$G$100,"SI",Deducciones!$C$2:$C$100,"PORCENTAJE",Deducciones!$D$2:$D$100,"TOTAL_PERCEPCIONES")))</f>
        <v/>
      </c>
      <c r="K78" s="20" t="str">
        <f>IF($A78="","",IF($N78&lt;&gt;"ACTIVO",0,SUMIFS(Movimientos!$F$2:$F$500,Movimientos!$A$2:$A$500,$B$2,Movimientos!$B$2:$B$500,$A78,Movimientos!$C$2:$C$500,"DEDUCCION")))</f>
        <v/>
      </c>
      <c r="L78" s="20" t="str">
        <f t="shared" si="7"/>
        <v/>
      </c>
      <c r="M78" s="20" t="str">
        <f t="shared" si="8"/>
        <v/>
      </c>
      <c r="N78" s="25" t="str">
        <f>IF($A78="","",INDEX(Empleados!$J$2:$J$201,MATCH($A78,Empleados!$A$2:$A$201,0)))</f>
        <v/>
      </c>
    </row>
    <row r="79" spans="1:14" x14ac:dyDescent="0.45">
      <c r="A79" s="24" t="str">
        <f>IF(ROW()-4&lt;=COUNTA(Empleados!$A$2:$A$201),INDEX(Empleados!$A$2:$A$201,ROW()-4),"")</f>
        <v/>
      </c>
      <c r="B79" s="25" t="str">
        <f>IF($A79="","",INDEX(Empleados!$E$2:$E$201,MATCH($A79,Empleados!$A$2:$A$201,0)))</f>
        <v/>
      </c>
      <c r="C79" s="25" t="str">
        <f>IF($A79="","",INDEX(Empleados!$O$2:$O$201,MATCH($A79,Empleados!$A$2:$A$201,0)))</f>
        <v/>
      </c>
      <c r="D79" s="25" t="str">
        <f>IF($A79="","",INDEX(Empleados!$P$2:$P$201,MATCH($A79,Empleados!$A$2:$A$201,0)))</f>
        <v/>
      </c>
      <c r="E79" s="20" t="str">
        <f>IF($A79="","",IF($N79&lt;&gt;"ACTIVO",0,INDEX(Empleados!$M$2:$M$201,MATCH($A79,Empleados!$A$2:$A$201,0))))</f>
        <v/>
      </c>
      <c r="F79" s="20" t="str">
        <f>IF($A79="","",IF($N79&lt;&gt;"ACTIVO",0,INDEX(Empleados!$N$2:$N$201,MATCH($A79,Empleados!$A$2:$A$201,0))))</f>
        <v/>
      </c>
      <c r="G79" s="20" t="str">
        <f>IF($A79="","",IF($N79&lt;&gt;"ACTIVO",0,SUMIFS(Conceptos_Pago!$E$2:$E$100,Conceptos_Pago!$C$2:$C$100,"FIJO",Conceptos_Pago!$D$2:$D$100,"SI")))</f>
        <v/>
      </c>
      <c r="H79" s="20" t="str">
        <f>IF($A79="","",IF($N79&lt;&gt;"ACTIVO",0,SUMIFS(Movimientos!$F$2:$F$500,Movimientos!$A$2:$A$500,$B$2,Movimientos!$B$2:$B$500,$A79,Movimientos!$C$2:$C$500,"PAGO")))</f>
        <v/>
      </c>
      <c r="I79" s="20" t="str">
        <f t="shared" si="6"/>
        <v/>
      </c>
      <c r="J79" s="20" t="str">
        <f>IF($A79="","",IF($N79&lt;&gt;"ACTIVO",0,SUMIFS(Deducciones!$E$2:$E$100,Deducciones!$F$2:$F$100,"SI",Deducciones!$G$2:$G$100,"SI",Deducciones!$C$2:$C$100,"FIJO")+E79*SUMIFS(Deducciones!$E$2:$E$100,Deducciones!$F$2:$F$100,"SI",Deducciones!$G$2:$G$100,"SI",Deducciones!$C$2:$C$100,"PORCENTAJE",Deducciones!$D$2:$D$100,"SUELDO_BASE")+I79*SUMIFS(Deducciones!$E$2:$E$100,Deducciones!$F$2:$F$100,"SI",Deducciones!$G$2:$G$100,"SI",Deducciones!$C$2:$C$100,"PORCENTAJE",Deducciones!$D$2:$D$100,"TOTAL_PERCEPCIONES")))</f>
        <v/>
      </c>
      <c r="K79" s="20" t="str">
        <f>IF($A79="","",IF($N79&lt;&gt;"ACTIVO",0,SUMIFS(Movimientos!$F$2:$F$500,Movimientos!$A$2:$A$500,$B$2,Movimientos!$B$2:$B$500,$A79,Movimientos!$C$2:$C$500,"DEDUCCION")))</f>
        <v/>
      </c>
      <c r="L79" s="20" t="str">
        <f t="shared" si="7"/>
        <v/>
      </c>
      <c r="M79" s="20" t="str">
        <f t="shared" si="8"/>
        <v/>
      </c>
      <c r="N79" s="25" t="str">
        <f>IF($A79="","",INDEX(Empleados!$J$2:$J$201,MATCH($A79,Empleados!$A$2:$A$201,0)))</f>
        <v/>
      </c>
    </row>
    <row r="80" spans="1:14" x14ac:dyDescent="0.45">
      <c r="A80" s="24" t="str">
        <f>IF(ROW()-4&lt;=COUNTA(Empleados!$A$2:$A$201),INDEX(Empleados!$A$2:$A$201,ROW()-4),"")</f>
        <v/>
      </c>
      <c r="B80" s="25" t="str">
        <f>IF($A80="","",INDEX(Empleados!$E$2:$E$201,MATCH($A80,Empleados!$A$2:$A$201,0)))</f>
        <v/>
      </c>
      <c r="C80" s="25" t="str">
        <f>IF($A80="","",INDEX(Empleados!$O$2:$O$201,MATCH($A80,Empleados!$A$2:$A$201,0)))</f>
        <v/>
      </c>
      <c r="D80" s="25" t="str">
        <f>IF($A80="","",INDEX(Empleados!$P$2:$P$201,MATCH($A80,Empleados!$A$2:$A$201,0)))</f>
        <v/>
      </c>
      <c r="E80" s="20" t="str">
        <f>IF($A80="","",IF($N80&lt;&gt;"ACTIVO",0,INDEX(Empleados!$M$2:$M$201,MATCH($A80,Empleados!$A$2:$A$201,0))))</f>
        <v/>
      </c>
      <c r="F80" s="20" t="str">
        <f>IF($A80="","",IF($N80&lt;&gt;"ACTIVO",0,INDEX(Empleados!$N$2:$N$201,MATCH($A80,Empleados!$A$2:$A$201,0))))</f>
        <v/>
      </c>
      <c r="G80" s="20" t="str">
        <f>IF($A80="","",IF($N80&lt;&gt;"ACTIVO",0,SUMIFS(Conceptos_Pago!$E$2:$E$100,Conceptos_Pago!$C$2:$C$100,"FIJO",Conceptos_Pago!$D$2:$D$100,"SI")))</f>
        <v/>
      </c>
      <c r="H80" s="20" t="str">
        <f>IF($A80="","",IF($N80&lt;&gt;"ACTIVO",0,SUMIFS(Movimientos!$F$2:$F$500,Movimientos!$A$2:$A$500,$B$2,Movimientos!$B$2:$B$500,$A80,Movimientos!$C$2:$C$500,"PAGO")))</f>
        <v/>
      </c>
      <c r="I80" s="20" t="str">
        <f t="shared" si="6"/>
        <v/>
      </c>
      <c r="J80" s="20" t="str">
        <f>IF($A80="","",IF($N80&lt;&gt;"ACTIVO",0,SUMIFS(Deducciones!$E$2:$E$100,Deducciones!$F$2:$F$100,"SI",Deducciones!$G$2:$G$100,"SI",Deducciones!$C$2:$C$100,"FIJO")+E80*SUMIFS(Deducciones!$E$2:$E$100,Deducciones!$F$2:$F$100,"SI",Deducciones!$G$2:$G$100,"SI",Deducciones!$C$2:$C$100,"PORCENTAJE",Deducciones!$D$2:$D$100,"SUELDO_BASE")+I80*SUMIFS(Deducciones!$E$2:$E$100,Deducciones!$F$2:$F$100,"SI",Deducciones!$G$2:$G$100,"SI",Deducciones!$C$2:$C$100,"PORCENTAJE",Deducciones!$D$2:$D$100,"TOTAL_PERCEPCIONES")))</f>
        <v/>
      </c>
      <c r="K80" s="20" t="str">
        <f>IF($A80="","",IF($N80&lt;&gt;"ACTIVO",0,SUMIFS(Movimientos!$F$2:$F$500,Movimientos!$A$2:$A$500,$B$2,Movimientos!$B$2:$B$500,$A80,Movimientos!$C$2:$C$500,"DEDUCCION")))</f>
        <v/>
      </c>
      <c r="L80" s="20" t="str">
        <f t="shared" si="7"/>
        <v/>
      </c>
      <c r="M80" s="20" t="str">
        <f t="shared" si="8"/>
        <v/>
      </c>
      <c r="N80" s="25" t="str">
        <f>IF($A80="","",INDEX(Empleados!$J$2:$J$201,MATCH($A80,Empleados!$A$2:$A$201,0)))</f>
        <v/>
      </c>
    </row>
    <row r="81" spans="1:14" x14ac:dyDescent="0.45">
      <c r="A81" s="24" t="str">
        <f>IF(ROW()-4&lt;=COUNTA(Empleados!$A$2:$A$201),INDEX(Empleados!$A$2:$A$201,ROW()-4),"")</f>
        <v/>
      </c>
      <c r="B81" s="25" t="str">
        <f>IF($A81="","",INDEX(Empleados!$E$2:$E$201,MATCH($A81,Empleados!$A$2:$A$201,0)))</f>
        <v/>
      </c>
      <c r="C81" s="25" t="str">
        <f>IF($A81="","",INDEX(Empleados!$O$2:$O$201,MATCH($A81,Empleados!$A$2:$A$201,0)))</f>
        <v/>
      </c>
      <c r="D81" s="25" t="str">
        <f>IF($A81="","",INDEX(Empleados!$P$2:$P$201,MATCH($A81,Empleados!$A$2:$A$201,0)))</f>
        <v/>
      </c>
      <c r="E81" s="20" t="str">
        <f>IF($A81="","",IF($N81&lt;&gt;"ACTIVO",0,INDEX(Empleados!$M$2:$M$201,MATCH($A81,Empleados!$A$2:$A$201,0))))</f>
        <v/>
      </c>
      <c r="F81" s="20" t="str">
        <f>IF($A81="","",IF($N81&lt;&gt;"ACTIVO",0,INDEX(Empleados!$N$2:$N$201,MATCH($A81,Empleados!$A$2:$A$201,0))))</f>
        <v/>
      </c>
      <c r="G81" s="20" t="str">
        <f>IF($A81="","",IF($N81&lt;&gt;"ACTIVO",0,SUMIFS(Conceptos_Pago!$E$2:$E$100,Conceptos_Pago!$C$2:$C$100,"FIJO",Conceptos_Pago!$D$2:$D$100,"SI")))</f>
        <v/>
      </c>
      <c r="H81" s="20" t="str">
        <f>IF($A81="","",IF($N81&lt;&gt;"ACTIVO",0,SUMIFS(Movimientos!$F$2:$F$500,Movimientos!$A$2:$A$500,$B$2,Movimientos!$B$2:$B$500,$A81,Movimientos!$C$2:$C$500,"PAGO")))</f>
        <v/>
      </c>
      <c r="I81" s="20" t="str">
        <f t="shared" si="6"/>
        <v/>
      </c>
      <c r="J81" s="20" t="str">
        <f>IF($A81="","",IF($N81&lt;&gt;"ACTIVO",0,SUMIFS(Deducciones!$E$2:$E$100,Deducciones!$F$2:$F$100,"SI",Deducciones!$G$2:$G$100,"SI",Deducciones!$C$2:$C$100,"FIJO")+E81*SUMIFS(Deducciones!$E$2:$E$100,Deducciones!$F$2:$F$100,"SI",Deducciones!$G$2:$G$100,"SI",Deducciones!$C$2:$C$100,"PORCENTAJE",Deducciones!$D$2:$D$100,"SUELDO_BASE")+I81*SUMIFS(Deducciones!$E$2:$E$100,Deducciones!$F$2:$F$100,"SI",Deducciones!$G$2:$G$100,"SI",Deducciones!$C$2:$C$100,"PORCENTAJE",Deducciones!$D$2:$D$100,"TOTAL_PERCEPCIONES")))</f>
        <v/>
      </c>
      <c r="K81" s="20" t="str">
        <f>IF($A81="","",IF($N81&lt;&gt;"ACTIVO",0,SUMIFS(Movimientos!$F$2:$F$500,Movimientos!$A$2:$A$500,$B$2,Movimientos!$B$2:$B$500,$A81,Movimientos!$C$2:$C$500,"DEDUCCION")))</f>
        <v/>
      </c>
      <c r="L81" s="20" t="str">
        <f t="shared" si="7"/>
        <v/>
      </c>
      <c r="M81" s="20" t="str">
        <f t="shared" si="8"/>
        <v/>
      </c>
      <c r="N81" s="25" t="str">
        <f>IF($A81="","",INDEX(Empleados!$J$2:$J$201,MATCH($A81,Empleados!$A$2:$A$201,0)))</f>
        <v/>
      </c>
    </row>
    <row r="82" spans="1:14" x14ac:dyDescent="0.45">
      <c r="A82" s="24" t="str">
        <f>IF(ROW()-4&lt;=COUNTA(Empleados!$A$2:$A$201),INDEX(Empleados!$A$2:$A$201,ROW()-4),"")</f>
        <v/>
      </c>
      <c r="B82" s="25" t="str">
        <f>IF($A82="","",INDEX(Empleados!$E$2:$E$201,MATCH($A82,Empleados!$A$2:$A$201,0)))</f>
        <v/>
      </c>
      <c r="C82" s="25" t="str">
        <f>IF($A82="","",INDEX(Empleados!$O$2:$O$201,MATCH($A82,Empleados!$A$2:$A$201,0)))</f>
        <v/>
      </c>
      <c r="D82" s="25" t="str">
        <f>IF($A82="","",INDEX(Empleados!$P$2:$P$201,MATCH($A82,Empleados!$A$2:$A$201,0)))</f>
        <v/>
      </c>
      <c r="E82" s="20" t="str">
        <f>IF($A82="","",IF($N82&lt;&gt;"ACTIVO",0,INDEX(Empleados!$M$2:$M$201,MATCH($A82,Empleados!$A$2:$A$201,0))))</f>
        <v/>
      </c>
      <c r="F82" s="20" t="str">
        <f>IF($A82="","",IF($N82&lt;&gt;"ACTIVO",0,INDEX(Empleados!$N$2:$N$201,MATCH($A82,Empleados!$A$2:$A$201,0))))</f>
        <v/>
      </c>
      <c r="G82" s="20" t="str">
        <f>IF($A82="","",IF($N82&lt;&gt;"ACTIVO",0,SUMIFS(Conceptos_Pago!$E$2:$E$100,Conceptos_Pago!$C$2:$C$100,"FIJO",Conceptos_Pago!$D$2:$D$100,"SI")))</f>
        <v/>
      </c>
      <c r="H82" s="20" t="str">
        <f>IF($A82="","",IF($N82&lt;&gt;"ACTIVO",0,SUMIFS(Movimientos!$F$2:$F$500,Movimientos!$A$2:$A$500,$B$2,Movimientos!$B$2:$B$500,$A82,Movimientos!$C$2:$C$500,"PAGO")))</f>
        <v/>
      </c>
      <c r="I82" s="20" t="str">
        <f t="shared" si="6"/>
        <v/>
      </c>
      <c r="J82" s="20" t="str">
        <f>IF($A82="","",IF($N82&lt;&gt;"ACTIVO",0,SUMIFS(Deducciones!$E$2:$E$100,Deducciones!$F$2:$F$100,"SI",Deducciones!$G$2:$G$100,"SI",Deducciones!$C$2:$C$100,"FIJO")+E82*SUMIFS(Deducciones!$E$2:$E$100,Deducciones!$F$2:$F$100,"SI",Deducciones!$G$2:$G$100,"SI",Deducciones!$C$2:$C$100,"PORCENTAJE",Deducciones!$D$2:$D$100,"SUELDO_BASE")+I82*SUMIFS(Deducciones!$E$2:$E$100,Deducciones!$F$2:$F$100,"SI",Deducciones!$G$2:$G$100,"SI",Deducciones!$C$2:$C$100,"PORCENTAJE",Deducciones!$D$2:$D$100,"TOTAL_PERCEPCIONES")))</f>
        <v/>
      </c>
      <c r="K82" s="20" t="str">
        <f>IF($A82="","",IF($N82&lt;&gt;"ACTIVO",0,SUMIFS(Movimientos!$F$2:$F$500,Movimientos!$A$2:$A$500,$B$2,Movimientos!$B$2:$B$500,$A82,Movimientos!$C$2:$C$500,"DEDUCCION")))</f>
        <v/>
      </c>
      <c r="L82" s="20" t="str">
        <f t="shared" si="7"/>
        <v/>
      </c>
      <c r="M82" s="20" t="str">
        <f t="shared" si="8"/>
        <v/>
      </c>
      <c r="N82" s="25" t="str">
        <f>IF($A82="","",INDEX(Empleados!$J$2:$J$201,MATCH($A82,Empleados!$A$2:$A$201,0)))</f>
        <v/>
      </c>
    </row>
    <row r="83" spans="1:14" x14ac:dyDescent="0.45">
      <c r="A83" s="24" t="str">
        <f>IF(ROW()-4&lt;=COUNTA(Empleados!$A$2:$A$201),INDEX(Empleados!$A$2:$A$201,ROW()-4),"")</f>
        <v/>
      </c>
      <c r="B83" s="25" t="str">
        <f>IF($A83="","",INDEX(Empleados!$E$2:$E$201,MATCH($A83,Empleados!$A$2:$A$201,0)))</f>
        <v/>
      </c>
      <c r="C83" s="25" t="str">
        <f>IF($A83="","",INDEX(Empleados!$O$2:$O$201,MATCH($A83,Empleados!$A$2:$A$201,0)))</f>
        <v/>
      </c>
      <c r="D83" s="25" t="str">
        <f>IF($A83="","",INDEX(Empleados!$P$2:$P$201,MATCH($A83,Empleados!$A$2:$A$201,0)))</f>
        <v/>
      </c>
      <c r="E83" s="20" t="str">
        <f>IF($A83="","",IF($N83&lt;&gt;"ACTIVO",0,INDEX(Empleados!$M$2:$M$201,MATCH($A83,Empleados!$A$2:$A$201,0))))</f>
        <v/>
      </c>
      <c r="F83" s="20" t="str">
        <f>IF($A83="","",IF($N83&lt;&gt;"ACTIVO",0,INDEX(Empleados!$N$2:$N$201,MATCH($A83,Empleados!$A$2:$A$201,0))))</f>
        <v/>
      </c>
      <c r="G83" s="20" t="str">
        <f>IF($A83="","",IF($N83&lt;&gt;"ACTIVO",0,SUMIFS(Conceptos_Pago!$E$2:$E$100,Conceptos_Pago!$C$2:$C$100,"FIJO",Conceptos_Pago!$D$2:$D$100,"SI")))</f>
        <v/>
      </c>
      <c r="H83" s="20" t="str">
        <f>IF($A83="","",IF($N83&lt;&gt;"ACTIVO",0,SUMIFS(Movimientos!$F$2:$F$500,Movimientos!$A$2:$A$500,$B$2,Movimientos!$B$2:$B$500,$A83,Movimientos!$C$2:$C$500,"PAGO")))</f>
        <v/>
      </c>
      <c r="I83" s="20" t="str">
        <f t="shared" si="6"/>
        <v/>
      </c>
      <c r="J83" s="20" t="str">
        <f>IF($A83="","",IF($N83&lt;&gt;"ACTIVO",0,SUMIFS(Deducciones!$E$2:$E$100,Deducciones!$F$2:$F$100,"SI",Deducciones!$G$2:$G$100,"SI",Deducciones!$C$2:$C$100,"FIJO")+E83*SUMIFS(Deducciones!$E$2:$E$100,Deducciones!$F$2:$F$100,"SI",Deducciones!$G$2:$G$100,"SI",Deducciones!$C$2:$C$100,"PORCENTAJE",Deducciones!$D$2:$D$100,"SUELDO_BASE")+I83*SUMIFS(Deducciones!$E$2:$E$100,Deducciones!$F$2:$F$100,"SI",Deducciones!$G$2:$G$100,"SI",Deducciones!$C$2:$C$100,"PORCENTAJE",Deducciones!$D$2:$D$100,"TOTAL_PERCEPCIONES")))</f>
        <v/>
      </c>
      <c r="K83" s="20" t="str">
        <f>IF($A83="","",IF($N83&lt;&gt;"ACTIVO",0,SUMIFS(Movimientos!$F$2:$F$500,Movimientos!$A$2:$A$500,$B$2,Movimientos!$B$2:$B$500,$A83,Movimientos!$C$2:$C$500,"DEDUCCION")))</f>
        <v/>
      </c>
      <c r="L83" s="20" t="str">
        <f t="shared" si="7"/>
        <v/>
      </c>
      <c r="M83" s="20" t="str">
        <f t="shared" si="8"/>
        <v/>
      </c>
      <c r="N83" s="25" t="str">
        <f>IF($A83="","",INDEX(Empleados!$J$2:$J$201,MATCH($A83,Empleados!$A$2:$A$201,0)))</f>
        <v/>
      </c>
    </row>
    <row r="84" spans="1:14" x14ac:dyDescent="0.45">
      <c r="A84" s="24" t="str">
        <f>IF(ROW()-4&lt;=COUNTA(Empleados!$A$2:$A$201),INDEX(Empleados!$A$2:$A$201,ROW()-4),"")</f>
        <v/>
      </c>
      <c r="B84" s="25" t="str">
        <f>IF($A84="","",INDEX(Empleados!$E$2:$E$201,MATCH($A84,Empleados!$A$2:$A$201,0)))</f>
        <v/>
      </c>
      <c r="C84" s="25" t="str">
        <f>IF($A84="","",INDEX(Empleados!$O$2:$O$201,MATCH($A84,Empleados!$A$2:$A$201,0)))</f>
        <v/>
      </c>
      <c r="D84" s="25" t="str">
        <f>IF($A84="","",INDEX(Empleados!$P$2:$P$201,MATCH($A84,Empleados!$A$2:$A$201,0)))</f>
        <v/>
      </c>
      <c r="E84" s="20" t="str">
        <f>IF($A84="","",IF($N84&lt;&gt;"ACTIVO",0,INDEX(Empleados!$M$2:$M$201,MATCH($A84,Empleados!$A$2:$A$201,0))))</f>
        <v/>
      </c>
      <c r="F84" s="20" t="str">
        <f>IF($A84="","",IF($N84&lt;&gt;"ACTIVO",0,INDEX(Empleados!$N$2:$N$201,MATCH($A84,Empleados!$A$2:$A$201,0))))</f>
        <v/>
      </c>
      <c r="G84" s="20" t="str">
        <f>IF($A84="","",IF($N84&lt;&gt;"ACTIVO",0,SUMIFS(Conceptos_Pago!$E$2:$E$100,Conceptos_Pago!$C$2:$C$100,"FIJO",Conceptos_Pago!$D$2:$D$100,"SI")))</f>
        <v/>
      </c>
      <c r="H84" s="20" t="str">
        <f>IF($A84="","",IF($N84&lt;&gt;"ACTIVO",0,SUMIFS(Movimientos!$F$2:$F$500,Movimientos!$A$2:$A$500,$B$2,Movimientos!$B$2:$B$500,$A84,Movimientos!$C$2:$C$500,"PAGO")))</f>
        <v/>
      </c>
      <c r="I84" s="20" t="str">
        <f t="shared" si="6"/>
        <v/>
      </c>
      <c r="J84" s="20" t="str">
        <f>IF($A84="","",IF($N84&lt;&gt;"ACTIVO",0,SUMIFS(Deducciones!$E$2:$E$100,Deducciones!$F$2:$F$100,"SI",Deducciones!$G$2:$G$100,"SI",Deducciones!$C$2:$C$100,"FIJO")+E84*SUMIFS(Deducciones!$E$2:$E$100,Deducciones!$F$2:$F$100,"SI",Deducciones!$G$2:$G$100,"SI",Deducciones!$C$2:$C$100,"PORCENTAJE",Deducciones!$D$2:$D$100,"SUELDO_BASE")+I84*SUMIFS(Deducciones!$E$2:$E$100,Deducciones!$F$2:$F$100,"SI",Deducciones!$G$2:$G$100,"SI",Deducciones!$C$2:$C$100,"PORCENTAJE",Deducciones!$D$2:$D$100,"TOTAL_PERCEPCIONES")))</f>
        <v/>
      </c>
      <c r="K84" s="20" t="str">
        <f>IF($A84="","",IF($N84&lt;&gt;"ACTIVO",0,SUMIFS(Movimientos!$F$2:$F$500,Movimientos!$A$2:$A$500,$B$2,Movimientos!$B$2:$B$500,$A84,Movimientos!$C$2:$C$500,"DEDUCCION")))</f>
        <v/>
      </c>
      <c r="L84" s="20" t="str">
        <f t="shared" si="7"/>
        <v/>
      </c>
      <c r="M84" s="20" t="str">
        <f t="shared" si="8"/>
        <v/>
      </c>
      <c r="N84" s="25" t="str">
        <f>IF($A84="","",INDEX(Empleados!$J$2:$J$201,MATCH($A84,Empleados!$A$2:$A$201,0)))</f>
        <v/>
      </c>
    </row>
    <row r="85" spans="1:14" x14ac:dyDescent="0.45">
      <c r="A85" s="24" t="str">
        <f>IF(ROW()-4&lt;=COUNTA(Empleados!$A$2:$A$201),INDEX(Empleados!$A$2:$A$201,ROW()-4),"")</f>
        <v/>
      </c>
      <c r="B85" s="25" t="str">
        <f>IF($A85="","",INDEX(Empleados!$E$2:$E$201,MATCH($A85,Empleados!$A$2:$A$201,0)))</f>
        <v/>
      </c>
      <c r="C85" s="25" t="str">
        <f>IF($A85="","",INDEX(Empleados!$O$2:$O$201,MATCH($A85,Empleados!$A$2:$A$201,0)))</f>
        <v/>
      </c>
      <c r="D85" s="25" t="str">
        <f>IF($A85="","",INDEX(Empleados!$P$2:$P$201,MATCH($A85,Empleados!$A$2:$A$201,0)))</f>
        <v/>
      </c>
      <c r="E85" s="20" t="str">
        <f>IF($A85="","",IF($N85&lt;&gt;"ACTIVO",0,INDEX(Empleados!$M$2:$M$201,MATCH($A85,Empleados!$A$2:$A$201,0))))</f>
        <v/>
      </c>
      <c r="F85" s="20" t="str">
        <f>IF($A85="","",IF($N85&lt;&gt;"ACTIVO",0,INDEX(Empleados!$N$2:$N$201,MATCH($A85,Empleados!$A$2:$A$201,0))))</f>
        <v/>
      </c>
      <c r="G85" s="20" t="str">
        <f>IF($A85="","",IF($N85&lt;&gt;"ACTIVO",0,SUMIFS(Conceptos_Pago!$E$2:$E$100,Conceptos_Pago!$C$2:$C$100,"FIJO",Conceptos_Pago!$D$2:$D$100,"SI")))</f>
        <v/>
      </c>
      <c r="H85" s="20" t="str">
        <f>IF($A85="","",IF($N85&lt;&gt;"ACTIVO",0,SUMIFS(Movimientos!$F$2:$F$500,Movimientos!$A$2:$A$500,$B$2,Movimientos!$B$2:$B$500,$A85,Movimientos!$C$2:$C$500,"PAGO")))</f>
        <v/>
      </c>
      <c r="I85" s="20" t="str">
        <f t="shared" si="6"/>
        <v/>
      </c>
      <c r="J85" s="20" t="str">
        <f>IF($A85="","",IF($N85&lt;&gt;"ACTIVO",0,SUMIFS(Deducciones!$E$2:$E$100,Deducciones!$F$2:$F$100,"SI",Deducciones!$G$2:$G$100,"SI",Deducciones!$C$2:$C$100,"FIJO")+E85*SUMIFS(Deducciones!$E$2:$E$100,Deducciones!$F$2:$F$100,"SI",Deducciones!$G$2:$G$100,"SI",Deducciones!$C$2:$C$100,"PORCENTAJE",Deducciones!$D$2:$D$100,"SUELDO_BASE")+I85*SUMIFS(Deducciones!$E$2:$E$100,Deducciones!$F$2:$F$100,"SI",Deducciones!$G$2:$G$100,"SI",Deducciones!$C$2:$C$100,"PORCENTAJE",Deducciones!$D$2:$D$100,"TOTAL_PERCEPCIONES")))</f>
        <v/>
      </c>
      <c r="K85" s="20" t="str">
        <f>IF($A85="","",IF($N85&lt;&gt;"ACTIVO",0,SUMIFS(Movimientos!$F$2:$F$500,Movimientos!$A$2:$A$500,$B$2,Movimientos!$B$2:$B$500,$A85,Movimientos!$C$2:$C$500,"DEDUCCION")))</f>
        <v/>
      </c>
      <c r="L85" s="20" t="str">
        <f t="shared" si="7"/>
        <v/>
      </c>
      <c r="M85" s="20" t="str">
        <f t="shared" si="8"/>
        <v/>
      </c>
      <c r="N85" s="25" t="str">
        <f>IF($A85="","",INDEX(Empleados!$J$2:$J$201,MATCH($A85,Empleados!$A$2:$A$201,0)))</f>
        <v/>
      </c>
    </row>
    <row r="86" spans="1:14" x14ac:dyDescent="0.45">
      <c r="A86" s="24" t="str">
        <f>IF(ROW()-4&lt;=COUNTA(Empleados!$A$2:$A$201),INDEX(Empleados!$A$2:$A$201,ROW()-4),"")</f>
        <v/>
      </c>
      <c r="B86" s="25" t="str">
        <f>IF($A86="","",INDEX(Empleados!$E$2:$E$201,MATCH($A86,Empleados!$A$2:$A$201,0)))</f>
        <v/>
      </c>
      <c r="C86" s="25" t="str">
        <f>IF($A86="","",INDEX(Empleados!$O$2:$O$201,MATCH($A86,Empleados!$A$2:$A$201,0)))</f>
        <v/>
      </c>
      <c r="D86" s="25" t="str">
        <f>IF($A86="","",INDEX(Empleados!$P$2:$P$201,MATCH($A86,Empleados!$A$2:$A$201,0)))</f>
        <v/>
      </c>
      <c r="E86" s="20" t="str">
        <f>IF($A86="","",IF($N86&lt;&gt;"ACTIVO",0,INDEX(Empleados!$M$2:$M$201,MATCH($A86,Empleados!$A$2:$A$201,0))))</f>
        <v/>
      </c>
      <c r="F86" s="20" t="str">
        <f>IF($A86="","",IF($N86&lt;&gt;"ACTIVO",0,INDEX(Empleados!$N$2:$N$201,MATCH($A86,Empleados!$A$2:$A$201,0))))</f>
        <v/>
      </c>
      <c r="G86" s="20" t="str">
        <f>IF($A86="","",IF($N86&lt;&gt;"ACTIVO",0,SUMIFS(Conceptos_Pago!$E$2:$E$100,Conceptos_Pago!$C$2:$C$100,"FIJO",Conceptos_Pago!$D$2:$D$100,"SI")))</f>
        <v/>
      </c>
      <c r="H86" s="20" t="str">
        <f>IF($A86="","",IF($N86&lt;&gt;"ACTIVO",0,SUMIFS(Movimientos!$F$2:$F$500,Movimientos!$A$2:$A$500,$B$2,Movimientos!$B$2:$B$500,$A86,Movimientos!$C$2:$C$500,"PAGO")))</f>
        <v/>
      </c>
      <c r="I86" s="20" t="str">
        <f t="shared" si="6"/>
        <v/>
      </c>
      <c r="J86" s="20" t="str">
        <f>IF($A86="","",IF($N86&lt;&gt;"ACTIVO",0,SUMIFS(Deducciones!$E$2:$E$100,Deducciones!$F$2:$F$100,"SI",Deducciones!$G$2:$G$100,"SI",Deducciones!$C$2:$C$100,"FIJO")+E86*SUMIFS(Deducciones!$E$2:$E$100,Deducciones!$F$2:$F$100,"SI",Deducciones!$G$2:$G$100,"SI",Deducciones!$C$2:$C$100,"PORCENTAJE",Deducciones!$D$2:$D$100,"SUELDO_BASE")+I86*SUMIFS(Deducciones!$E$2:$E$100,Deducciones!$F$2:$F$100,"SI",Deducciones!$G$2:$G$100,"SI",Deducciones!$C$2:$C$100,"PORCENTAJE",Deducciones!$D$2:$D$100,"TOTAL_PERCEPCIONES")))</f>
        <v/>
      </c>
      <c r="K86" s="20" t="str">
        <f>IF($A86="","",IF($N86&lt;&gt;"ACTIVO",0,SUMIFS(Movimientos!$F$2:$F$500,Movimientos!$A$2:$A$500,$B$2,Movimientos!$B$2:$B$500,$A86,Movimientos!$C$2:$C$500,"DEDUCCION")))</f>
        <v/>
      </c>
      <c r="L86" s="20" t="str">
        <f t="shared" si="7"/>
        <v/>
      </c>
      <c r="M86" s="20" t="str">
        <f t="shared" si="8"/>
        <v/>
      </c>
      <c r="N86" s="25" t="str">
        <f>IF($A86="","",INDEX(Empleados!$J$2:$J$201,MATCH($A86,Empleados!$A$2:$A$201,0)))</f>
        <v/>
      </c>
    </row>
    <row r="87" spans="1:14" x14ac:dyDescent="0.45">
      <c r="A87" s="24" t="str">
        <f>IF(ROW()-4&lt;=COUNTA(Empleados!$A$2:$A$201),INDEX(Empleados!$A$2:$A$201,ROW()-4),"")</f>
        <v/>
      </c>
      <c r="B87" s="25" t="str">
        <f>IF($A87="","",INDEX(Empleados!$E$2:$E$201,MATCH($A87,Empleados!$A$2:$A$201,0)))</f>
        <v/>
      </c>
      <c r="C87" s="25" t="str">
        <f>IF($A87="","",INDEX(Empleados!$O$2:$O$201,MATCH($A87,Empleados!$A$2:$A$201,0)))</f>
        <v/>
      </c>
      <c r="D87" s="25" t="str">
        <f>IF($A87="","",INDEX(Empleados!$P$2:$P$201,MATCH($A87,Empleados!$A$2:$A$201,0)))</f>
        <v/>
      </c>
      <c r="E87" s="20" t="str">
        <f>IF($A87="","",IF($N87&lt;&gt;"ACTIVO",0,INDEX(Empleados!$M$2:$M$201,MATCH($A87,Empleados!$A$2:$A$201,0))))</f>
        <v/>
      </c>
      <c r="F87" s="20" t="str">
        <f>IF($A87="","",IF($N87&lt;&gt;"ACTIVO",0,INDEX(Empleados!$N$2:$N$201,MATCH($A87,Empleados!$A$2:$A$201,0))))</f>
        <v/>
      </c>
      <c r="G87" s="20" t="str">
        <f>IF($A87="","",IF($N87&lt;&gt;"ACTIVO",0,SUMIFS(Conceptos_Pago!$E$2:$E$100,Conceptos_Pago!$C$2:$C$100,"FIJO",Conceptos_Pago!$D$2:$D$100,"SI")))</f>
        <v/>
      </c>
      <c r="H87" s="20" t="str">
        <f>IF($A87="","",IF($N87&lt;&gt;"ACTIVO",0,SUMIFS(Movimientos!$F$2:$F$500,Movimientos!$A$2:$A$500,$B$2,Movimientos!$B$2:$B$500,$A87,Movimientos!$C$2:$C$500,"PAGO")))</f>
        <v/>
      </c>
      <c r="I87" s="20" t="str">
        <f t="shared" si="6"/>
        <v/>
      </c>
      <c r="J87" s="20" t="str">
        <f>IF($A87="","",IF($N87&lt;&gt;"ACTIVO",0,SUMIFS(Deducciones!$E$2:$E$100,Deducciones!$F$2:$F$100,"SI",Deducciones!$G$2:$G$100,"SI",Deducciones!$C$2:$C$100,"FIJO")+E87*SUMIFS(Deducciones!$E$2:$E$100,Deducciones!$F$2:$F$100,"SI",Deducciones!$G$2:$G$100,"SI",Deducciones!$C$2:$C$100,"PORCENTAJE",Deducciones!$D$2:$D$100,"SUELDO_BASE")+I87*SUMIFS(Deducciones!$E$2:$E$100,Deducciones!$F$2:$F$100,"SI",Deducciones!$G$2:$G$100,"SI",Deducciones!$C$2:$C$100,"PORCENTAJE",Deducciones!$D$2:$D$100,"TOTAL_PERCEPCIONES")))</f>
        <v/>
      </c>
      <c r="K87" s="20" t="str">
        <f>IF($A87="","",IF($N87&lt;&gt;"ACTIVO",0,SUMIFS(Movimientos!$F$2:$F$500,Movimientos!$A$2:$A$500,$B$2,Movimientos!$B$2:$B$500,$A87,Movimientos!$C$2:$C$500,"DEDUCCION")))</f>
        <v/>
      </c>
      <c r="L87" s="20" t="str">
        <f t="shared" si="7"/>
        <v/>
      </c>
      <c r="M87" s="20" t="str">
        <f t="shared" si="8"/>
        <v/>
      </c>
      <c r="N87" s="25" t="str">
        <f>IF($A87="","",INDEX(Empleados!$J$2:$J$201,MATCH($A87,Empleados!$A$2:$A$201,0)))</f>
        <v/>
      </c>
    </row>
    <row r="88" spans="1:14" x14ac:dyDescent="0.45">
      <c r="A88" s="24" t="str">
        <f>IF(ROW()-4&lt;=COUNTA(Empleados!$A$2:$A$201),INDEX(Empleados!$A$2:$A$201,ROW()-4),"")</f>
        <v/>
      </c>
      <c r="B88" s="25" t="str">
        <f>IF($A88="","",INDEX(Empleados!$E$2:$E$201,MATCH($A88,Empleados!$A$2:$A$201,0)))</f>
        <v/>
      </c>
      <c r="C88" s="25" t="str">
        <f>IF($A88="","",INDEX(Empleados!$O$2:$O$201,MATCH($A88,Empleados!$A$2:$A$201,0)))</f>
        <v/>
      </c>
      <c r="D88" s="25" t="str">
        <f>IF($A88="","",INDEX(Empleados!$P$2:$P$201,MATCH($A88,Empleados!$A$2:$A$201,0)))</f>
        <v/>
      </c>
      <c r="E88" s="20" t="str">
        <f>IF($A88="","",IF($N88&lt;&gt;"ACTIVO",0,INDEX(Empleados!$M$2:$M$201,MATCH($A88,Empleados!$A$2:$A$201,0))))</f>
        <v/>
      </c>
      <c r="F88" s="20" t="str">
        <f>IF($A88="","",IF($N88&lt;&gt;"ACTIVO",0,INDEX(Empleados!$N$2:$N$201,MATCH($A88,Empleados!$A$2:$A$201,0))))</f>
        <v/>
      </c>
      <c r="G88" s="20" t="str">
        <f>IF($A88="","",IF($N88&lt;&gt;"ACTIVO",0,SUMIFS(Conceptos_Pago!$E$2:$E$100,Conceptos_Pago!$C$2:$C$100,"FIJO",Conceptos_Pago!$D$2:$D$100,"SI")))</f>
        <v/>
      </c>
      <c r="H88" s="20" t="str">
        <f>IF($A88="","",IF($N88&lt;&gt;"ACTIVO",0,SUMIFS(Movimientos!$F$2:$F$500,Movimientos!$A$2:$A$500,$B$2,Movimientos!$B$2:$B$500,$A88,Movimientos!$C$2:$C$500,"PAGO")))</f>
        <v/>
      </c>
      <c r="I88" s="20" t="str">
        <f t="shared" si="6"/>
        <v/>
      </c>
      <c r="J88" s="20" t="str">
        <f>IF($A88="","",IF($N88&lt;&gt;"ACTIVO",0,SUMIFS(Deducciones!$E$2:$E$100,Deducciones!$F$2:$F$100,"SI",Deducciones!$G$2:$G$100,"SI",Deducciones!$C$2:$C$100,"FIJO")+E88*SUMIFS(Deducciones!$E$2:$E$100,Deducciones!$F$2:$F$100,"SI",Deducciones!$G$2:$G$100,"SI",Deducciones!$C$2:$C$100,"PORCENTAJE",Deducciones!$D$2:$D$100,"SUELDO_BASE")+I88*SUMIFS(Deducciones!$E$2:$E$100,Deducciones!$F$2:$F$100,"SI",Deducciones!$G$2:$G$100,"SI",Deducciones!$C$2:$C$100,"PORCENTAJE",Deducciones!$D$2:$D$100,"TOTAL_PERCEPCIONES")))</f>
        <v/>
      </c>
      <c r="K88" s="20" t="str">
        <f>IF($A88="","",IF($N88&lt;&gt;"ACTIVO",0,SUMIFS(Movimientos!$F$2:$F$500,Movimientos!$A$2:$A$500,$B$2,Movimientos!$B$2:$B$500,$A88,Movimientos!$C$2:$C$500,"DEDUCCION")))</f>
        <v/>
      </c>
      <c r="L88" s="20" t="str">
        <f t="shared" si="7"/>
        <v/>
      </c>
      <c r="M88" s="20" t="str">
        <f t="shared" si="8"/>
        <v/>
      </c>
      <c r="N88" s="25" t="str">
        <f>IF($A88="","",INDEX(Empleados!$J$2:$J$201,MATCH($A88,Empleados!$A$2:$A$201,0)))</f>
        <v/>
      </c>
    </row>
    <row r="89" spans="1:14" x14ac:dyDescent="0.45">
      <c r="A89" s="24" t="str">
        <f>IF(ROW()-4&lt;=COUNTA(Empleados!$A$2:$A$201),INDEX(Empleados!$A$2:$A$201,ROW()-4),"")</f>
        <v/>
      </c>
      <c r="B89" s="25" t="str">
        <f>IF($A89="","",INDEX(Empleados!$E$2:$E$201,MATCH($A89,Empleados!$A$2:$A$201,0)))</f>
        <v/>
      </c>
      <c r="C89" s="25" t="str">
        <f>IF($A89="","",INDEX(Empleados!$O$2:$O$201,MATCH($A89,Empleados!$A$2:$A$201,0)))</f>
        <v/>
      </c>
      <c r="D89" s="25" t="str">
        <f>IF($A89="","",INDEX(Empleados!$P$2:$P$201,MATCH($A89,Empleados!$A$2:$A$201,0)))</f>
        <v/>
      </c>
      <c r="E89" s="20" t="str">
        <f>IF($A89="","",IF($N89&lt;&gt;"ACTIVO",0,INDEX(Empleados!$M$2:$M$201,MATCH($A89,Empleados!$A$2:$A$201,0))))</f>
        <v/>
      </c>
      <c r="F89" s="20" t="str">
        <f>IF($A89="","",IF($N89&lt;&gt;"ACTIVO",0,INDEX(Empleados!$N$2:$N$201,MATCH($A89,Empleados!$A$2:$A$201,0))))</f>
        <v/>
      </c>
      <c r="G89" s="20" t="str">
        <f>IF($A89="","",IF($N89&lt;&gt;"ACTIVO",0,SUMIFS(Conceptos_Pago!$E$2:$E$100,Conceptos_Pago!$C$2:$C$100,"FIJO",Conceptos_Pago!$D$2:$D$100,"SI")))</f>
        <v/>
      </c>
      <c r="H89" s="20" t="str">
        <f>IF($A89="","",IF($N89&lt;&gt;"ACTIVO",0,SUMIFS(Movimientos!$F$2:$F$500,Movimientos!$A$2:$A$500,$B$2,Movimientos!$B$2:$B$500,$A89,Movimientos!$C$2:$C$500,"PAGO")))</f>
        <v/>
      </c>
      <c r="I89" s="20" t="str">
        <f t="shared" si="6"/>
        <v/>
      </c>
      <c r="J89" s="20" t="str">
        <f>IF($A89="","",IF($N89&lt;&gt;"ACTIVO",0,SUMIFS(Deducciones!$E$2:$E$100,Deducciones!$F$2:$F$100,"SI",Deducciones!$G$2:$G$100,"SI",Deducciones!$C$2:$C$100,"FIJO")+E89*SUMIFS(Deducciones!$E$2:$E$100,Deducciones!$F$2:$F$100,"SI",Deducciones!$G$2:$G$100,"SI",Deducciones!$C$2:$C$100,"PORCENTAJE",Deducciones!$D$2:$D$100,"SUELDO_BASE")+I89*SUMIFS(Deducciones!$E$2:$E$100,Deducciones!$F$2:$F$100,"SI",Deducciones!$G$2:$G$100,"SI",Deducciones!$C$2:$C$100,"PORCENTAJE",Deducciones!$D$2:$D$100,"TOTAL_PERCEPCIONES")))</f>
        <v/>
      </c>
      <c r="K89" s="20" t="str">
        <f>IF($A89="","",IF($N89&lt;&gt;"ACTIVO",0,SUMIFS(Movimientos!$F$2:$F$500,Movimientos!$A$2:$A$500,$B$2,Movimientos!$B$2:$B$500,$A89,Movimientos!$C$2:$C$500,"DEDUCCION")))</f>
        <v/>
      </c>
      <c r="L89" s="20" t="str">
        <f t="shared" si="7"/>
        <v/>
      </c>
      <c r="M89" s="20" t="str">
        <f t="shared" si="8"/>
        <v/>
      </c>
      <c r="N89" s="25" t="str">
        <f>IF($A89="","",INDEX(Empleados!$J$2:$J$201,MATCH($A89,Empleados!$A$2:$A$201,0)))</f>
        <v/>
      </c>
    </row>
    <row r="90" spans="1:14" x14ac:dyDescent="0.45">
      <c r="A90" s="24" t="str">
        <f>IF(ROW()-4&lt;=COUNTA(Empleados!$A$2:$A$201),INDEX(Empleados!$A$2:$A$201,ROW()-4),"")</f>
        <v/>
      </c>
      <c r="B90" s="25" t="str">
        <f>IF($A90="","",INDEX(Empleados!$E$2:$E$201,MATCH($A90,Empleados!$A$2:$A$201,0)))</f>
        <v/>
      </c>
      <c r="C90" s="25" t="str">
        <f>IF($A90="","",INDEX(Empleados!$O$2:$O$201,MATCH($A90,Empleados!$A$2:$A$201,0)))</f>
        <v/>
      </c>
      <c r="D90" s="25" t="str">
        <f>IF($A90="","",INDEX(Empleados!$P$2:$P$201,MATCH($A90,Empleados!$A$2:$A$201,0)))</f>
        <v/>
      </c>
      <c r="E90" s="20" t="str">
        <f>IF($A90="","",IF($N90&lt;&gt;"ACTIVO",0,INDEX(Empleados!$M$2:$M$201,MATCH($A90,Empleados!$A$2:$A$201,0))))</f>
        <v/>
      </c>
      <c r="F90" s="20" t="str">
        <f>IF($A90="","",IF($N90&lt;&gt;"ACTIVO",0,INDEX(Empleados!$N$2:$N$201,MATCH($A90,Empleados!$A$2:$A$201,0))))</f>
        <v/>
      </c>
      <c r="G90" s="20" t="str">
        <f>IF($A90="","",IF($N90&lt;&gt;"ACTIVO",0,SUMIFS(Conceptos_Pago!$E$2:$E$100,Conceptos_Pago!$C$2:$C$100,"FIJO",Conceptos_Pago!$D$2:$D$100,"SI")))</f>
        <v/>
      </c>
      <c r="H90" s="20" t="str">
        <f>IF($A90="","",IF($N90&lt;&gt;"ACTIVO",0,SUMIFS(Movimientos!$F$2:$F$500,Movimientos!$A$2:$A$500,$B$2,Movimientos!$B$2:$B$500,$A90,Movimientos!$C$2:$C$500,"PAGO")))</f>
        <v/>
      </c>
      <c r="I90" s="20" t="str">
        <f t="shared" si="6"/>
        <v/>
      </c>
      <c r="J90" s="20" t="str">
        <f>IF($A90="","",IF($N90&lt;&gt;"ACTIVO",0,SUMIFS(Deducciones!$E$2:$E$100,Deducciones!$F$2:$F$100,"SI",Deducciones!$G$2:$G$100,"SI",Deducciones!$C$2:$C$100,"FIJO")+E90*SUMIFS(Deducciones!$E$2:$E$100,Deducciones!$F$2:$F$100,"SI",Deducciones!$G$2:$G$100,"SI",Deducciones!$C$2:$C$100,"PORCENTAJE",Deducciones!$D$2:$D$100,"SUELDO_BASE")+I90*SUMIFS(Deducciones!$E$2:$E$100,Deducciones!$F$2:$F$100,"SI",Deducciones!$G$2:$G$100,"SI",Deducciones!$C$2:$C$100,"PORCENTAJE",Deducciones!$D$2:$D$100,"TOTAL_PERCEPCIONES")))</f>
        <v/>
      </c>
      <c r="K90" s="20" t="str">
        <f>IF($A90="","",IF($N90&lt;&gt;"ACTIVO",0,SUMIFS(Movimientos!$F$2:$F$500,Movimientos!$A$2:$A$500,$B$2,Movimientos!$B$2:$B$500,$A90,Movimientos!$C$2:$C$500,"DEDUCCION")))</f>
        <v/>
      </c>
      <c r="L90" s="20" t="str">
        <f t="shared" si="7"/>
        <v/>
      </c>
      <c r="M90" s="20" t="str">
        <f t="shared" si="8"/>
        <v/>
      </c>
      <c r="N90" s="25" t="str">
        <f>IF($A90="","",INDEX(Empleados!$J$2:$J$201,MATCH($A90,Empleados!$A$2:$A$201,0)))</f>
        <v/>
      </c>
    </row>
    <row r="91" spans="1:14" x14ac:dyDescent="0.45">
      <c r="A91" s="24" t="str">
        <f>IF(ROW()-4&lt;=COUNTA(Empleados!$A$2:$A$201),INDEX(Empleados!$A$2:$A$201,ROW()-4),"")</f>
        <v/>
      </c>
      <c r="B91" s="25" t="str">
        <f>IF($A91="","",INDEX(Empleados!$E$2:$E$201,MATCH($A91,Empleados!$A$2:$A$201,0)))</f>
        <v/>
      </c>
      <c r="C91" s="25" t="str">
        <f>IF($A91="","",INDEX(Empleados!$O$2:$O$201,MATCH($A91,Empleados!$A$2:$A$201,0)))</f>
        <v/>
      </c>
      <c r="D91" s="25" t="str">
        <f>IF($A91="","",INDEX(Empleados!$P$2:$P$201,MATCH($A91,Empleados!$A$2:$A$201,0)))</f>
        <v/>
      </c>
      <c r="E91" s="20" t="str">
        <f>IF($A91="","",IF($N91&lt;&gt;"ACTIVO",0,INDEX(Empleados!$M$2:$M$201,MATCH($A91,Empleados!$A$2:$A$201,0))))</f>
        <v/>
      </c>
      <c r="F91" s="20" t="str">
        <f>IF($A91="","",IF($N91&lt;&gt;"ACTIVO",0,INDEX(Empleados!$N$2:$N$201,MATCH($A91,Empleados!$A$2:$A$201,0))))</f>
        <v/>
      </c>
      <c r="G91" s="20" t="str">
        <f>IF($A91="","",IF($N91&lt;&gt;"ACTIVO",0,SUMIFS(Conceptos_Pago!$E$2:$E$100,Conceptos_Pago!$C$2:$C$100,"FIJO",Conceptos_Pago!$D$2:$D$100,"SI")))</f>
        <v/>
      </c>
      <c r="H91" s="20" t="str">
        <f>IF($A91="","",IF($N91&lt;&gt;"ACTIVO",0,SUMIFS(Movimientos!$F$2:$F$500,Movimientos!$A$2:$A$500,$B$2,Movimientos!$B$2:$B$500,$A91,Movimientos!$C$2:$C$500,"PAGO")))</f>
        <v/>
      </c>
      <c r="I91" s="20" t="str">
        <f t="shared" si="6"/>
        <v/>
      </c>
      <c r="J91" s="20" t="str">
        <f>IF($A91="","",IF($N91&lt;&gt;"ACTIVO",0,SUMIFS(Deducciones!$E$2:$E$100,Deducciones!$F$2:$F$100,"SI",Deducciones!$G$2:$G$100,"SI",Deducciones!$C$2:$C$100,"FIJO")+E91*SUMIFS(Deducciones!$E$2:$E$100,Deducciones!$F$2:$F$100,"SI",Deducciones!$G$2:$G$100,"SI",Deducciones!$C$2:$C$100,"PORCENTAJE",Deducciones!$D$2:$D$100,"SUELDO_BASE")+I91*SUMIFS(Deducciones!$E$2:$E$100,Deducciones!$F$2:$F$100,"SI",Deducciones!$G$2:$G$100,"SI",Deducciones!$C$2:$C$100,"PORCENTAJE",Deducciones!$D$2:$D$100,"TOTAL_PERCEPCIONES")))</f>
        <v/>
      </c>
      <c r="K91" s="20" t="str">
        <f>IF($A91="","",IF($N91&lt;&gt;"ACTIVO",0,SUMIFS(Movimientos!$F$2:$F$500,Movimientos!$A$2:$A$500,$B$2,Movimientos!$B$2:$B$500,$A91,Movimientos!$C$2:$C$500,"DEDUCCION")))</f>
        <v/>
      </c>
      <c r="L91" s="20" t="str">
        <f t="shared" si="7"/>
        <v/>
      </c>
      <c r="M91" s="20" t="str">
        <f t="shared" si="8"/>
        <v/>
      </c>
      <c r="N91" s="25" t="str">
        <f>IF($A91="","",INDEX(Empleados!$J$2:$J$201,MATCH($A91,Empleados!$A$2:$A$201,0)))</f>
        <v/>
      </c>
    </row>
    <row r="92" spans="1:14" x14ac:dyDescent="0.45">
      <c r="A92" s="24" t="str">
        <f>IF(ROW()-4&lt;=COUNTA(Empleados!$A$2:$A$201),INDEX(Empleados!$A$2:$A$201,ROW()-4),"")</f>
        <v/>
      </c>
      <c r="B92" s="25" t="str">
        <f>IF($A92="","",INDEX(Empleados!$E$2:$E$201,MATCH($A92,Empleados!$A$2:$A$201,0)))</f>
        <v/>
      </c>
      <c r="C92" s="25" t="str">
        <f>IF($A92="","",INDEX(Empleados!$O$2:$O$201,MATCH($A92,Empleados!$A$2:$A$201,0)))</f>
        <v/>
      </c>
      <c r="D92" s="25" t="str">
        <f>IF($A92="","",INDEX(Empleados!$P$2:$P$201,MATCH($A92,Empleados!$A$2:$A$201,0)))</f>
        <v/>
      </c>
      <c r="E92" s="20" t="str">
        <f>IF($A92="","",IF($N92&lt;&gt;"ACTIVO",0,INDEX(Empleados!$M$2:$M$201,MATCH($A92,Empleados!$A$2:$A$201,0))))</f>
        <v/>
      </c>
      <c r="F92" s="20" t="str">
        <f>IF($A92="","",IF($N92&lt;&gt;"ACTIVO",0,INDEX(Empleados!$N$2:$N$201,MATCH($A92,Empleados!$A$2:$A$201,0))))</f>
        <v/>
      </c>
      <c r="G92" s="20" t="str">
        <f>IF($A92="","",IF($N92&lt;&gt;"ACTIVO",0,SUMIFS(Conceptos_Pago!$E$2:$E$100,Conceptos_Pago!$C$2:$C$100,"FIJO",Conceptos_Pago!$D$2:$D$100,"SI")))</f>
        <v/>
      </c>
      <c r="H92" s="20" t="str">
        <f>IF($A92="","",IF($N92&lt;&gt;"ACTIVO",0,SUMIFS(Movimientos!$F$2:$F$500,Movimientos!$A$2:$A$500,$B$2,Movimientos!$B$2:$B$500,$A92,Movimientos!$C$2:$C$500,"PAGO")))</f>
        <v/>
      </c>
      <c r="I92" s="20" t="str">
        <f t="shared" si="6"/>
        <v/>
      </c>
      <c r="J92" s="20" t="str">
        <f>IF($A92="","",IF($N92&lt;&gt;"ACTIVO",0,SUMIFS(Deducciones!$E$2:$E$100,Deducciones!$F$2:$F$100,"SI",Deducciones!$G$2:$G$100,"SI",Deducciones!$C$2:$C$100,"FIJO")+E92*SUMIFS(Deducciones!$E$2:$E$100,Deducciones!$F$2:$F$100,"SI",Deducciones!$G$2:$G$100,"SI",Deducciones!$C$2:$C$100,"PORCENTAJE",Deducciones!$D$2:$D$100,"SUELDO_BASE")+I92*SUMIFS(Deducciones!$E$2:$E$100,Deducciones!$F$2:$F$100,"SI",Deducciones!$G$2:$G$100,"SI",Deducciones!$C$2:$C$100,"PORCENTAJE",Deducciones!$D$2:$D$100,"TOTAL_PERCEPCIONES")))</f>
        <v/>
      </c>
      <c r="K92" s="20" t="str">
        <f>IF($A92="","",IF($N92&lt;&gt;"ACTIVO",0,SUMIFS(Movimientos!$F$2:$F$500,Movimientos!$A$2:$A$500,$B$2,Movimientos!$B$2:$B$500,$A92,Movimientos!$C$2:$C$500,"DEDUCCION")))</f>
        <v/>
      </c>
      <c r="L92" s="20" t="str">
        <f t="shared" si="7"/>
        <v/>
      </c>
      <c r="M92" s="20" t="str">
        <f t="shared" si="8"/>
        <v/>
      </c>
      <c r="N92" s="25" t="str">
        <f>IF($A92="","",INDEX(Empleados!$J$2:$J$201,MATCH($A92,Empleados!$A$2:$A$201,0)))</f>
        <v/>
      </c>
    </row>
    <row r="93" spans="1:14" x14ac:dyDescent="0.45">
      <c r="A93" s="24" t="str">
        <f>IF(ROW()-4&lt;=COUNTA(Empleados!$A$2:$A$201),INDEX(Empleados!$A$2:$A$201,ROW()-4),"")</f>
        <v/>
      </c>
      <c r="B93" s="25" t="str">
        <f>IF($A93="","",INDEX(Empleados!$E$2:$E$201,MATCH($A93,Empleados!$A$2:$A$201,0)))</f>
        <v/>
      </c>
      <c r="C93" s="25" t="str">
        <f>IF($A93="","",INDEX(Empleados!$O$2:$O$201,MATCH($A93,Empleados!$A$2:$A$201,0)))</f>
        <v/>
      </c>
      <c r="D93" s="25" t="str">
        <f>IF($A93="","",INDEX(Empleados!$P$2:$P$201,MATCH($A93,Empleados!$A$2:$A$201,0)))</f>
        <v/>
      </c>
      <c r="E93" s="20" t="str">
        <f>IF($A93="","",IF($N93&lt;&gt;"ACTIVO",0,INDEX(Empleados!$M$2:$M$201,MATCH($A93,Empleados!$A$2:$A$201,0))))</f>
        <v/>
      </c>
      <c r="F93" s="20" t="str">
        <f>IF($A93="","",IF($N93&lt;&gt;"ACTIVO",0,INDEX(Empleados!$N$2:$N$201,MATCH($A93,Empleados!$A$2:$A$201,0))))</f>
        <v/>
      </c>
      <c r="G93" s="20" t="str">
        <f>IF($A93="","",IF($N93&lt;&gt;"ACTIVO",0,SUMIFS(Conceptos_Pago!$E$2:$E$100,Conceptos_Pago!$C$2:$C$100,"FIJO",Conceptos_Pago!$D$2:$D$100,"SI")))</f>
        <v/>
      </c>
      <c r="H93" s="20" t="str">
        <f>IF($A93="","",IF($N93&lt;&gt;"ACTIVO",0,SUMIFS(Movimientos!$F$2:$F$500,Movimientos!$A$2:$A$500,$B$2,Movimientos!$B$2:$B$500,$A93,Movimientos!$C$2:$C$500,"PAGO")))</f>
        <v/>
      </c>
      <c r="I93" s="20" t="str">
        <f t="shared" si="6"/>
        <v/>
      </c>
      <c r="J93" s="20" t="str">
        <f>IF($A93="","",IF($N93&lt;&gt;"ACTIVO",0,SUMIFS(Deducciones!$E$2:$E$100,Deducciones!$F$2:$F$100,"SI",Deducciones!$G$2:$G$100,"SI",Deducciones!$C$2:$C$100,"FIJO")+E93*SUMIFS(Deducciones!$E$2:$E$100,Deducciones!$F$2:$F$100,"SI",Deducciones!$G$2:$G$100,"SI",Deducciones!$C$2:$C$100,"PORCENTAJE",Deducciones!$D$2:$D$100,"SUELDO_BASE")+I93*SUMIFS(Deducciones!$E$2:$E$100,Deducciones!$F$2:$F$100,"SI",Deducciones!$G$2:$G$100,"SI",Deducciones!$C$2:$C$100,"PORCENTAJE",Deducciones!$D$2:$D$100,"TOTAL_PERCEPCIONES")))</f>
        <v/>
      </c>
      <c r="K93" s="20" t="str">
        <f>IF($A93="","",IF($N93&lt;&gt;"ACTIVO",0,SUMIFS(Movimientos!$F$2:$F$500,Movimientos!$A$2:$A$500,$B$2,Movimientos!$B$2:$B$500,$A93,Movimientos!$C$2:$C$500,"DEDUCCION")))</f>
        <v/>
      </c>
      <c r="L93" s="20" t="str">
        <f t="shared" si="7"/>
        <v/>
      </c>
      <c r="M93" s="20" t="str">
        <f t="shared" si="8"/>
        <v/>
      </c>
      <c r="N93" s="25" t="str">
        <f>IF($A93="","",INDEX(Empleados!$J$2:$J$201,MATCH($A93,Empleados!$A$2:$A$201,0)))</f>
        <v/>
      </c>
    </row>
    <row r="94" spans="1:14" x14ac:dyDescent="0.45">
      <c r="A94" s="24" t="str">
        <f>IF(ROW()-4&lt;=COUNTA(Empleados!$A$2:$A$201),INDEX(Empleados!$A$2:$A$201,ROW()-4),"")</f>
        <v/>
      </c>
      <c r="B94" s="25" t="str">
        <f>IF($A94="","",INDEX(Empleados!$E$2:$E$201,MATCH($A94,Empleados!$A$2:$A$201,0)))</f>
        <v/>
      </c>
      <c r="C94" s="25" t="str">
        <f>IF($A94="","",INDEX(Empleados!$O$2:$O$201,MATCH($A94,Empleados!$A$2:$A$201,0)))</f>
        <v/>
      </c>
      <c r="D94" s="25" t="str">
        <f>IF($A94="","",INDEX(Empleados!$P$2:$P$201,MATCH($A94,Empleados!$A$2:$A$201,0)))</f>
        <v/>
      </c>
      <c r="E94" s="20" t="str">
        <f>IF($A94="","",IF($N94&lt;&gt;"ACTIVO",0,INDEX(Empleados!$M$2:$M$201,MATCH($A94,Empleados!$A$2:$A$201,0))))</f>
        <v/>
      </c>
      <c r="F94" s="20" t="str">
        <f>IF($A94="","",IF($N94&lt;&gt;"ACTIVO",0,INDEX(Empleados!$N$2:$N$201,MATCH($A94,Empleados!$A$2:$A$201,0))))</f>
        <v/>
      </c>
      <c r="G94" s="20" t="str">
        <f>IF($A94="","",IF($N94&lt;&gt;"ACTIVO",0,SUMIFS(Conceptos_Pago!$E$2:$E$100,Conceptos_Pago!$C$2:$C$100,"FIJO",Conceptos_Pago!$D$2:$D$100,"SI")))</f>
        <v/>
      </c>
      <c r="H94" s="20" t="str">
        <f>IF($A94="","",IF($N94&lt;&gt;"ACTIVO",0,SUMIFS(Movimientos!$F$2:$F$500,Movimientos!$A$2:$A$500,$B$2,Movimientos!$B$2:$B$500,$A94,Movimientos!$C$2:$C$500,"PAGO")))</f>
        <v/>
      </c>
      <c r="I94" s="20" t="str">
        <f t="shared" si="6"/>
        <v/>
      </c>
      <c r="J94" s="20" t="str">
        <f>IF($A94="","",IF($N94&lt;&gt;"ACTIVO",0,SUMIFS(Deducciones!$E$2:$E$100,Deducciones!$F$2:$F$100,"SI",Deducciones!$G$2:$G$100,"SI",Deducciones!$C$2:$C$100,"FIJO")+E94*SUMIFS(Deducciones!$E$2:$E$100,Deducciones!$F$2:$F$100,"SI",Deducciones!$G$2:$G$100,"SI",Deducciones!$C$2:$C$100,"PORCENTAJE",Deducciones!$D$2:$D$100,"SUELDO_BASE")+I94*SUMIFS(Deducciones!$E$2:$E$100,Deducciones!$F$2:$F$100,"SI",Deducciones!$G$2:$G$100,"SI",Deducciones!$C$2:$C$100,"PORCENTAJE",Deducciones!$D$2:$D$100,"TOTAL_PERCEPCIONES")))</f>
        <v/>
      </c>
      <c r="K94" s="20" t="str">
        <f>IF($A94="","",IF($N94&lt;&gt;"ACTIVO",0,SUMIFS(Movimientos!$F$2:$F$500,Movimientos!$A$2:$A$500,$B$2,Movimientos!$B$2:$B$500,$A94,Movimientos!$C$2:$C$500,"DEDUCCION")))</f>
        <v/>
      </c>
      <c r="L94" s="20" t="str">
        <f t="shared" si="7"/>
        <v/>
      </c>
      <c r="M94" s="20" t="str">
        <f t="shared" si="8"/>
        <v/>
      </c>
      <c r="N94" s="25" t="str">
        <f>IF($A94="","",INDEX(Empleados!$J$2:$J$201,MATCH($A94,Empleados!$A$2:$A$201,0)))</f>
        <v/>
      </c>
    </row>
    <row r="95" spans="1:14" x14ac:dyDescent="0.45">
      <c r="A95" s="24" t="str">
        <f>IF(ROW()-4&lt;=COUNTA(Empleados!$A$2:$A$201),INDEX(Empleados!$A$2:$A$201,ROW()-4),"")</f>
        <v/>
      </c>
      <c r="B95" s="25" t="str">
        <f>IF($A95="","",INDEX(Empleados!$E$2:$E$201,MATCH($A95,Empleados!$A$2:$A$201,0)))</f>
        <v/>
      </c>
      <c r="C95" s="25" t="str">
        <f>IF($A95="","",INDEX(Empleados!$O$2:$O$201,MATCH($A95,Empleados!$A$2:$A$201,0)))</f>
        <v/>
      </c>
      <c r="D95" s="25" t="str">
        <f>IF($A95="","",INDEX(Empleados!$P$2:$P$201,MATCH($A95,Empleados!$A$2:$A$201,0)))</f>
        <v/>
      </c>
      <c r="E95" s="20" t="str">
        <f>IF($A95="","",IF($N95&lt;&gt;"ACTIVO",0,INDEX(Empleados!$M$2:$M$201,MATCH($A95,Empleados!$A$2:$A$201,0))))</f>
        <v/>
      </c>
      <c r="F95" s="20" t="str">
        <f>IF($A95="","",IF($N95&lt;&gt;"ACTIVO",0,INDEX(Empleados!$N$2:$N$201,MATCH($A95,Empleados!$A$2:$A$201,0))))</f>
        <v/>
      </c>
      <c r="G95" s="20" t="str">
        <f>IF($A95="","",IF($N95&lt;&gt;"ACTIVO",0,SUMIFS(Conceptos_Pago!$E$2:$E$100,Conceptos_Pago!$C$2:$C$100,"FIJO",Conceptos_Pago!$D$2:$D$100,"SI")))</f>
        <v/>
      </c>
      <c r="H95" s="20" t="str">
        <f>IF($A95="","",IF($N95&lt;&gt;"ACTIVO",0,SUMIFS(Movimientos!$F$2:$F$500,Movimientos!$A$2:$A$500,$B$2,Movimientos!$B$2:$B$500,$A95,Movimientos!$C$2:$C$500,"PAGO")))</f>
        <v/>
      </c>
      <c r="I95" s="20" t="str">
        <f t="shared" si="6"/>
        <v/>
      </c>
      <c r="J95" s="20" t="str">
        <f>IF($A95="","",IF($N95&lt;&gt;"ACTIVO",0,SUMIFS(Deducciones!$E$2:$E$100,Deducciones!$F$2:$F$100,"SI",Deducciones!$G$2:$G$100,"SI",Deducciones!$C$2:$C$100,"FIJO")+E95*SUMIFS(Deducciones!$E$2:$E$100,Deducciones!$F$2:$F$100,"SI",Deducciones!$G$2:$G$100,"SI",Deducciones!$C$2:$C$100,"PORCENTAJE",Deducciones!$D$2:$D$100,"SUELDO_BASE")+I95*SUMIFS(Deducciones!$E$2:$E$100,Deducciones!$F$2:$F$100,"SI",Deducciones!$G$2:$G$100,"SI",Deducciones!$C$2:$C$100,"PORCENTAJE",Deducciones!$D$2:$D$100,"TOTAL_PERCEPCIONES")))</f>
        <v/>
      </c>
      <c r="K95" s="20" t="str">
        <f>IF($A95="","",IF($N95&lt;&gt;"ACTIVO",0,SUMIFS(Movimientos!$F$2:$F$500,Movimientos!$A$2:$A$500,$B$2,Movimientos!$B$2:$B$500,$A95,Movimientos!$C$2:$C$500,"DEDUCCION")))</f>
        <v/>
      </c>
      <c r="L95" s="20" t="str">
        <f t="shared" si="7"/>
        <v/>
      </c>
      <c r="M95" s="20" t="str">
        <f t="shared" si="8"/>
        <v/>
      </c>
      <c r="N95" s="25" t="str">
        <f>IF($A95="","",INDEX(Empleados!$J$2:$J$201,MATCH($A95,Empleados!$A$2:$A$201,0)))</f>
        <v/>
      </c>
    </row>
    <row r="96" spans="1:14" x14ac:dyDescent="0.45">
      <c r="A96" s="24" t="str">
        <f>IF(ROW()-4&lt;=COUNTA(Empleados!$A$2:$A$201),INDEX(Empleados!$A$2:$A$201,ROW()-4),"")</f>
        <v/>
      </c>
      <c r="B96" s="25" t="str">
        <f>IF($A96="","",INDEX(Empleados!$E$2:$E$201,MATCH($A96,Empleados!$A$2:$A$201,0)))</f>
        <v/>
      </c>
      <c r="C96" s="25" t="str">
        <f>IF($A96="","",INDEX(Empleados!$O$2:$O$201,MATCH($A96,Empleados!$A$2:$A$201,0)))</f>
        <v/>
      </c>
      <c r="D96" s="25" t="str">
        <f>IF($A96="","",INDEX(Empleados!$P$2:$P$201,MATCH($A96,Empleados!$A$2:$A$201,0)))</f>
        <v/>
      </c>
      <c r="E96" s="20" t="str">
        <f>IF($A96="","",IF($N96&lt;&gt;"ACTIVO",0,INDEX(Empleados!$M$2:$M$201,MATCH($A96,Empleados!$A$2:$A$201,0))))</f>
        <v/>
      </c>
      <c r="F96" s="20" t="str">
        <f>IF($A96="","",IF($N96&lt;&gt;"ACTIVO",0,INDEX(Empleados!$N$2:$N$201,MATCH($A96,Empleados!$A$2:$A$201,0))))</f>
        <v/>
      </c>
      <c r="G96" s="20" t="str">
        <f>IF($A96="","",IF($N96&lt;&gt;"ACTIVO",0,SUMIFS(Conceptos_Pago!$E$2:$E$100,Conceptos_Pago!$C$2:$C$100,"FIJO",Conceptos_Pago!$D$2:$D$100,"SI")))</f>
        <v/>
      </c>
      <c r="H96" s="20" t="str">
        <f>IF($A96="","",IF($N96&lt;&gt;"ACTIVO",0,SUMIFS(Movimientos!$F$2:$F$500,Movimientos!$A$2:$A$500,$B$2,Movimientos!$B$2:$B$500,$A96,Movimientos!$C$2:$C$500,"PAGO")))</f>
        <v/>
      </c>
      <c r="I96" s="20" t="str">
        <f t="shared" si="6"/>
        <v/>
      </c>
      <c r="J96" s="20" t="str">
        <f>IF($A96="","",IF($N96&lt;&gt;"ACTIVO",0,SUMIFS(Deducciones!$E$2:$E$100,Deducciones!$F$2:$F$100,"SI",Deducciones!$G$2:$G$100,"SI",Deducciones!$C$2:$C$100,"FIJO")+E96*SUMIFS(Deducciones!$E$2:$E$100,Deducciones!$F$2:$F$100,"SI",Deducciones!$G$2:$G$100,"SI",Deducciones!$C$2:$C$100,"PORCENTAJE",Deducciones!$D$2:$D$100,"SUELDO_BASE")+I96*SUMIFS(Deducciones!$E$2:$E$100,Deducciones!$F$2:$F$100,"SI",Deducciones!$G$2:$G$100,"SI",Deducciones!$C$2:$C$100,"PORCENTAJE",Deducciones!$D$2:$D$100,"TOTAL_PERCEPCIONES")))</f>
        <v/>
      </c>
      <c r="K96" s="20" t="str">
        <f>IF($A96="","",IF($N96&lt;&gt;"ACTIVO",0,SUMIFS(Movimientos!$F$2:$F$500,Movimientos!$A$2:$A$500,$B$2,Movimientos!$B$2:$B$500,$A96,Movimientos!$C$2:$C$500,"DEDUCCION")))</f>
        <v/>
      </c>
      <c r="L96" s="20" t="str">
        <f t="shared" si="7"/>
        <v/>
      </c>
      <c r="M96" s="20" t="str">
        <f t="shared" si="8"/>
        <v/>
      </c>
      <c r="N96" s="25" t="str">
        <f>IF($A96="","",INDEX(Empleados!$J$2:$J$201,MATCH($A96,Empleados!$A$2:$A$201,0)))</f>
        <v/>
      </c>
    </row>
    <row r="97" spans="1:14" x14ac:dyDescent="0.45">
      <c r="A97" s="24" t="str">
        <f>IF(ROW()-4&lt;=COUNTA(Empleados!$A$2:$A$201),INDEX(Empleados!$A$2:$A$201,ROW()-4),"")</f>
        <v/>
      </c>
      <c r="B97" s="25" t="str">
        <f>IF($A97="","",INDEX(Empleados!$E$2:$E$201,MATCH($A97,Empleados!$A$2:$A$201,0)))</f>
        <v/>
      </c>
      <c r="C97" s="25" t="str">
        <f>IF($A97="","",INDEX(Empleados!$O$2:$O$201,MATCH($A97,Empleados!$A$2:$A$201,0)))</f>
        <v/>
      </c>
      <c r="D97" s="25" t="str">
        <f>IF($A97="","",INDEX(Empleados!$P$2:$P$201,MATCH($A97,Empleados!$A$2:$A$201,0)))</f>
        <v/>
      </c>
      <c r="E97" s="20" t="str">
        <f>IF($A97="","",IF($N97&lt;&gt;"ACTIVO",0,INDEX(Empleados!$M$2:$M$201,MATCH($A97,Empleados!$A$2:$A$201,0))))</f>
        <v/>
      </c>
      <c r="F97" s="20" t="str">
        <f>IF($A97="","",IF($N97&lt;&gt;"ACTIVO",0,INDEX(Empleados!$N$2:$N$201,MATCH($A97,Empleados!$A$2:$A$201,0))))</f>
        <v/>
      </c>
      <c r="G97" s="20" t="str">
        <f>IF($A97="","",IF($N97&lt;&gt;"ACTIVO",0,SUMIFS(Conceptos_Pago!$E$2:$E$100,Conceptos_Pago!$C$2:$C$100,"FIJO",Conceptos_Pago!$D$2:$D$100,"SI")))</f>
        <v/>
      </c>
      <c r="H97" s="20" t="str">
        <f>IF($A97="","",IF($N97&lt;&gt;"ACTIVO",0,SUMIFS(Movimientos!$F$2:$F$500,Movimientos!$A$2:$A$500,$B$2,Movimientos!$B$2:$B$500,$A97,Movimientos!$C$2:$C$500,"PAGO")))</f>
        <v/>
      </c>
      <c r="I97" s="20" t="str">
        <f t="shared" si="6"/>
        <v/>
      </c>
      <c r="J97" s="20" t="str">
        <f>IF($A97="","",IF($N97&lt;&gt;"ACTIVO",0,SUMIFS(Deducciones!$E$2:$E$100,Deducciones!$F$2:$F$100,"SI",Deducciones!$G$2:$G$100,"SI",Deducciones!$C$2:$C$100,"FIJO")+E97*SUMIFS(Deducciones!$E$2:$E$100,Deducciones!$F$2:$F$100,"SI",Deducciones!$G$2:$G$100,"SI",Deducciones!$C$2:$C$100,"PORCENTAJE",Deducciones!$D$2:$D$100,"SUELDO_BASE")+I97*SUMIFS(Deducciones!$E$2:$E$100,Deducciones!$F$2:$F$100,"SI",Deducciones!$G$2:$G$100,"SI",Deducciones!$C$2:$C$100,"PORCENTAJE",Deducciones!$D$2:$D$100,"TOTAL_PERCEPCIONES")))</f>
        <v/>
      </c>
      <c r="K97" s="20" t="str">
        <f>IF($A97="","",IF($N97&lt;&gt;"ACTIVO",0,SUMIFS(Movimientos!$F$2:$F$500,Movimientos!$A$2:$A$500,$B$2,Movimientos!$B$2:$B$500,$A97,Movimientos!$C$2:$C$500,"DEDUCCION")))</f>
        <v/>
      </c>
      <c r="L97" s="20" t="str">
        <f t="shared" si="7"/>
        <v/>
      </c>
      <c r="M97" s="20" t="str">
        <f t="shared" si="8"/>
        <v/>
      </c>
      <c r="N97" s="25" t="str">
        <f>IF($A97="","",INDEX(Empleados!$J$2:$J$201,MATCH($A97,Empleados!$A$2:$A$201,0)))</f>
        <v/>
      </c>
    </row>
    <row r="98" spans="1:14" x14ac:dyDescent="0.45">
      <c r="A98" s="24" t="str">
        <f>IF(ROW()-4&lt;=COUNTA(Empleados!$A$2:$A$201),INDEX(Empleados!$A$2:$A$201,ROW()-4),"")</f>
        <v/>
      </c>
      <c r="B98" s="25" t="str">
        <f>IF($A98="","",INDEX(Empleados!$E$2:$E$201,MATCH($A98,Empleados!$A$2:$A$201,0)))</f>
        <v/>
      </c>
      <c r="C98" s="25" t="str">
        <f>IF($A98="","",INDEX(Empleados!$O$2:$O$201,MATCH($A98,Empleados!$A$2:$A$201,0)))</f>
        <v/>
      </c>
      <c r="D98" s="25" t="str">
        <f>IF($A98="","",INDEX(Empleados!$P$2:$P$201,MATCH($A98,Empleados!$A$2:$A$201,0)))</f>
        <v/>
      </c>
      <c r="E98" s="20" t="str">
        <f>IF($A98="","",IF($N98&lt;&gt;"ACTIVO",0,INDEX(Empleados!$M$2:$M$201,MATCH($A98,Empleados!$A$2:$A$201,0))))</f>
        <v/>
      </c>
      <c r="F98" s="20" t="str">
        <f>IF($A98="","",IF($N98&lt;&gt;"ACTIVO",0,INDEX(Empleados!$N$2:$N$201,MATCH($A98,Empleados!$A$2:$A$201,0))))</f>
        <v/>
      </c>
      <c r="G98" s="20" t="str">
        <f>IF($A98="","",IF($N98&lt;&gt;"ACTIVO",0,SUMIFS(Conceptos_Pago!$E$2:$E$100,Conceptos_Pago!$C$2:$C$100,"FIJO",Conceptos_Pago!$D$2:$D$100,"SI")))</f>
        <v/>
      </c>
      <c r="H98" s="20" t="str">
        <f>IF($A98="","",IF($N98&lt;&gt;"ACTIVO",0,SUMIFS(Movimientos!$F$2:$F$500,Movimientos!$A$2:$A$500,$B$2,Movimientos!$B$2:$B$500,$A98,Movimientos!$C$2:$C$500,"PAGO")))</f>
        <v/>
      </c>
      <c r="I98" s="20" t="str">
        <f t="shared" si="6"/>
        <v/>
      </c>
      <c r="J98" s="20" t="str">
        <f>IF($A98="","",IF($N98&lt;&gt;"ACTIVO",0,SUMIFS(Deducciones!$E$2:$E$100,Deducciones!$F$2:$F$100,"SI",Deducciones!$G$2:$G$100,"SI",Deducciones!$C$2:$C$100,"FIJO")+E98*SUMIFS(Deducciones!$E$2:$E$100,Deducciones!$F$2:$F$100,"SI",Deducciones!$G$2:$G$100,"SI",Deducciones!$C$2:$C$100,"PORCENTAJE",Deducciones!$D$2:$D$100,"SUELDO_BASE")+I98*SUMIFS(Deducciones!$E$2:$E$100,Deducciones!$F$2:$F$100,"SI",Deducciones!$G$2:$G$100,"SI",Deducciones!$C$2:$C$100,"PORCENTAJE",Deducciones!$D$2:$D$100,"TOTAL_PERCEPCIONES")))</f>
        <v/>
      </c>
      <c r="K98" s="20" t="str">
        <f>IF($A98="","",IF($N98&lt;&gt;"ACTIVO",0,SUMIFS(Movimientos!$F$2:$F$500,Movimientos!$A$2:$A$500,$B$2,Movimientos!$B$2:$B$500,$A98,Movimientos!$C$2:$C$500,"DEDUCCION")))</f>
        <v/>
      </c>
      <c r="L98" s="20" t="str">
        <f t="shared" si="7"/>
        <v/>
      </c>
      <c r="M98" s="20" t="str">
        <f t="shared" si="8"/>
        <v/>
      </c>
      <c r="N98" s="25" t="str">
        <f>IF($A98="","",INDEX(Empleados!$J$2:$J$201,MATCH($A98,Empleados!$A$2:$A$201,0)))</f>
        <v/>
      </c>
    </row>
    <row r="99" spans="1:14" x14ac:dyDescent="0.45">
      <c r="A99" s="24" t="str">
        <f>IF(ROW()-4&lt;=COUNTA(Empleados!$A$2:$A$201),INDEX(Empleados!$A$2:$A$201,ROW()-4),"")</f>
        <v/>
      </c>
      <c r="B99" s="25" t="str">
        <f>IF($A99="","",INDEX(Empleados!$E$2:$E$201,MATCH($A99,Empleados!$A$2:$A$201,0)))</f>
        <v/>
      </c>
      <c r="C99" s="25" t="str">
        <f>IF($A99="","",INDEX(Empleados!$O$2:$O$201,MATCH($A99,Empleados!$A$2:$A$201,0)))</f>
        <v/>
      </c>
      <c r="D99" s="25" t="str">
        <f>IF($A99="","",INDEX(Empleados!$P$2:$P$201,MATCH($A99,Empleados!$A$2:$A$201,0)))</f>
        <v/>
      </c>
      <c r="E99" s="20" t="str">
        <f>IF($A99="","",IF($N99&lt;&gt;"ACTIVO",0,INDEX(Empleados!$M$2:$M$201,MATCH($A99,Empleados!$A$2:$A$201,0))))</f>
        <v/>
      </c>
      <c r="F99" s="20" t="str">
        <f>IF($A99="","",IF($N99&lt;&gt;"ACTIVO",0,INDEX(Empleados!$N$2:$N$201,MATCH($A99,Empleados!$A$2:$A$201,0))))</f>
        <v/>
      </c>
      <c r="G99" s="20" t="str">
        <f>IF($A99="","",IF($N99&lt;&gt;"ACTIVO",0,SUMIFS(Conceptos_Pago!$E$2:$E$100,Conceptos_Pago!$C$2:$C$100,"FIJO",Conceptos_Pago!$D$2:$D$100,"SI")))</f>
        <v/>
      </c>
      <c r="H99" s="20" t="str">
        <f>IF($A99="","",IF($N99&lt;&gt;"ACTIVO",0,SUMIFS(Movimientos!$F$2:$F$500,Movimientos!$A$2:$A$500,$B$2,Movimientos!$B$2:$B$500,$A99,Movimientos!$C$2:$C$500,"PAGO")))</f>
        <v/>
      </c>
      <c r="I99" s="20" t="str">
        <f t="shared" si="6"/>
        <v/>
      </c>
      <c r="J99" s="20" t="str">
        <f>IF($A99="","",IF($N99&lt;&gt;"ACTIVO",0,SUMIFS(Deducciones!$E$2:$E$100,Deducciones!$F$2:$F$100,"SI",Deducciones!$G$2:$G$100,"SI",Deducciones!$C$2:$C$100,"FIJO")+E99*SUMIFS(Deducciones!$E$2:$E$100,Deducciones!$F$2:$F$100,"SI",Deducciones!$G$2:$G$100,"SI",Deducciones!$C$2:$C$100,"PORCENTAJE",Deducciones!$D$2:$D$100,"SUELDO_BASE")+I99*SUMIFS(Deducciones!$E$2:$E$100,Deducciones!$F$2:$F$100,"SI",Deducciones!$G$2:$G$100,"SI",Deducciones!$C$2:$C$100,"PORCENTAJE",Deducciones!$D$2:$D$100,"TOTAL_PERCEPCIONES")))</f>
        <v/>
      </c>
      <c r="K99" s="20" t="str">
        <f>IF($A99="","",IF($N99&lt;&gt;"ACTIVO",0,SUMIFS(Movimientos!$F$2:$F$500,Movimientos!$A$2:$A$500,$B$2,Movimientos!$B$2:$B$500,$A99,Movimientos!$C$2:$C$500,"DEDUCCION")))</f>
        <v/>
      </c>
      <c r="L99" s="20" t="str">
        <f t="shared" si="7"/>
        <v/>
      </c>
      <c r="M99" s="20" t="str">
        <f t="shared" si="8"/>
        <v/>
      </c>
      <c r="N99" s="25" t="str">
        <f>IF($A99="","",INDEX(Empleados!$J$2:$J$201,MATCH($A99,Empleados!$A$2:$A$201,0)))</f>
        <v/>
      </c>
    </row>
    <row r="100" spans="1:14" x14ac:dyDescent="0.45">
      <c r="A100" s="24" t="str">
        <f>IF(ROW()-4&lt;=COUNTA(Empleados!$A$2:$A$201),INDEX(Empleados!$A$2:$A$201,ROW()-4),"")</f>
        <v/>
      </c>
      <c r="B100" s="25" t="str">
        <f>IF($A100="","",INDEX(Empleados!$E$2:$E$201,MATCH($A100,Empleados!$A$2:$A$201,0)))</f>
        <v/>
      </c>
      <c r="C100" s="25" t="str">
        <f>IF($A100="","",INDEX(Empleados!$O$2:$O$201,MATCH($A100,Empleados!$A$2:$A$201,0)))</f>
        <v/>
      </c>
      <c r="D100" s="25" t="str">
        <f>IF($A100="","",INDEX(Empleados!$P$2:$P$201,MATCH($A100,Empleados!$A$2:$A$201,0)))</f>
        <v/>
      </c>
      <c r="E100" s="20" t="str">
        <f>IF($A100="","",IF($N100&lt;&gt;"ACTIVO",0,INDEX(Empleados!$M$2:$M$201,MATCH($A100,Empleados!$A$2:$A$201,0))))</f>
        <v/>
      </c>
      <c r="F100" s="20" t="str">
        <f>IF($A100="","",IF($N100&lt;&gt;"ACTIVO",0,INDEX(Empleados!$N$2:$N$201,MATCH($A100,Empleados!$A$2:$A$201,0))))</f>
        <v/>
      </c>
      <c r="G100" s="20" t="str">
        <f>IF($A100="","",IF($N100&lt;&gt;"ACTIVO",0,SUMIFS(Conceptos_Pago!$E$2:$E$100,Conceptos_Pago!$C$2:$C$100,"FIJO",Conceptos_Pago!$D$2:$D$100,"SI")))</f>
        <v/>
      </c>
      <c r="H100" s="20" t="str">
        <f>IF($A100="","",IF($N100&lt;&gt;"ACTIVO",0,SUMIFS(Movimientos!$F$2:$F$500,Movimientos!$A$2:$A$500,$B$2,Movimientos!$B$2:$B$500,$A100,Movimientos!$C$2:$C$500,"PAGO")))</f>
        <v/>
      </c>
      <c r="I100" s="20" t="str">
        <f t="shared" si="6"/>
        <v/>
      </c>
      <c r="J100" s="20" t="str">
        <f>IF($A100="","",IF($N100&lt;&gt;"ACTIVO",0,SUMIFS(Deducciones!$E$2:$E$100,Deducciones!$F$2:$F$100,"SI",Deducciones!$G$2:$G$100,"SI",Deducciones!$C$2:$C$100,"FIJO")+E100*SUMIFS(Deducciones!$E$2:$E$100,Deducciones!$F$2:$F$100,"SI",Deducciones!$G$2:$G$100,"SI",Deducciones!$C$2:$C$100,"PORCENTAJE",Deducciones!$D$2:$D$100,"SUELDO_BASE")+I100*SUMIFS(Deducciones!$E$2:$E$100,Deducciones!$F$2:$F$100,"SI",Deducciones!$G$2:$G$100,"SI",Deducciones!$C$2:$C$100,"PORCENTAJE",Deducciones!$D$2:$D$100,"TOTAL_PERCEPCIONES")))</f>
        <v/>
      </c>
      <c r="K100" s="20" t="str">
        <f>IF($A100="","",IF($N100&lt;&gt;"ACTIVO",0,SUMIFS(Movimientos!$F$2:$F$500,Movimientos!$A$2:$A$500,$B$2,Movimientos!$B$2:$B$500,$A100,Movimientos!$C$2:$C$500,"DEDUCCION")))</f>
        <v/>
      </c>
      <c r="L100" s="20" t="str">
        <f t="shared" si="7"/>
        <v/>
      </c>
      <c r="M100" s="20" t="str">
        <f t="shared" si="8"/>
        <v/>
      </c>
      <c r="N100" s="25" t="str">
        <f>IF($A100="","",INDEX(Empleados!$J$2:$J$201,MATCH($A100,Empleados!$A$2:$A$201,0)))</f>
        <v/>
      </c>
    </row>
    <row r="101" spans="1:14" x14ac:dyDescent="0.45">
      <c r="A101" s="24" t="str">
        <f>IF(ROW()-4&lt;=COUNTA(Empleados!$A$2:$A$201),INDEX(Empleados!$A$2:$A$201,ROW()-4),"")</f>
        <v/>
      </c>
      <c r="B101" s="25" t="str">
        <f>IF($A101="","",INDEX(Empleados!$E$2:$E$201,MATCH($A101,Empleados!$A$2:$A$201,0)))</f>
        <v/>
      </c>
      <c r="C101" s="25" t="str">
        <f>IF($A101="","",INDEX(Empleados!$O$2:$O$201,MATCH($A101,Empleados!$A$2:$A$201,0)))</f>
        <v/>
      </c>
      <c r="D101" s="25" t="str">
        <f>IF($A101="","",INDEX(Empleados!$P$2:$P$201,MATCH($A101,Empleados!$A$2:$A$201,0)))</f>
        <v/>
      </c>
      <c r="E101" s="20" t="str">
        <f>IF($A101="","",IF($N101&lt;&gt;"ACTIVO",0,INDEX(Empleados!$M$2:$M$201,MATCH($A101,Empleados!$A$2:$A$201,0))))</f>
        <v/>
      </c>
      <c r="F101" s="20" t="str">
        <f>IF($A101="","",IF($N101&lt;&gt;"ACTIVO",0,INDEX(Empleados!$N$2:$N$201,MATCH($A101,Empleados!$A$2:$A$201,0))))</f>
        <v/>
      </c>
      <c r="G101" s="20" t="str">
        <f>IF($A101="","",IF($N101&lt;&gt;"ACTIVO",0,SUMIFS(Conceptos_Pago!$E$2:$E$100,Conceptos_Pago!$C$2:$C$100,"FIJO",Conceptos_Pago!$D$2:$D$100,"SI")))</f>
        <v/>
      </c>
      <c r="H101" s="20" t="str">
        <f>IF($A101="","",IF($N101&lt;&gt;"ACTIVO",0,SUMIFS(Movimientos!$F$2:$F$500,Movimientos!$A$2:$A$500,$B$2,Movimientos!$B$2:$B$500,$A101,Movimientos!$C$2:$C$500,"PAGO")))</f>
        <v/>
      </c>
      <c r="I101" s="20" t="str">
        <f t="shared" ref="I101:I132" si="9">IF($A101="","",SUM(E101:H101))</f>
        <v/>
      </c>
      <c r="J101" s="20" t="str">
        <f>IF($A101="","",IF($N101&lt;&gt;"ACTIVO",0,SUMIFS(Deducciones!$E$2:$E$100,Deducciones!$F$2:$F$100,"SI",Deducciones!$G$2:$G$100,"SI",Deducciones!$C$2:$C$100,"FIJO")+E101*SUMIFS(Deducciones!$E$2:$E$100,Deducciones!$F$2:$F$100,"SI",Deducciones!$G$2:$G$100,"SI",Deducciones!$C$2:$C$100,"PORCENTAJE",Deducciones!$D$2:$D$100,"SUELDO_BASE")+I101*SUMIFS(Deducciones!$E$2:$E$100,Deducciones!$F$2:$F$100,"SI",Deducciones!$G$2:$G$100,"SI",Deducciones!$C$2:$C$100,"PORCENTAJE",Deducciones!$D$2:$D$100,"TOTAL_PERCEPCIONES")))</f>
        <v/>
      </c>
      <c r="K101" s="20" t="str">
        <f>IF($A101="","",IF($N101&lt;&gt;"ACTIVO",0,SUMIFS(Movimientos!$F$2:$F$500,Movimientos!$A$2:$A$500,$B$2,Movimientos!$B$2:$B$500,$A101,Movimientos!$C$2:$C$500,"DEDUCCION")))</f>
        <v/>
      </c>
      <c r="L101" s="20" t="str">
        <f t="shared" ref="L101:L132" si="10">IF($A101="","",SUM(J101:K101))</f>
        <v/>
      </c>
      <c r="M101" s="20" t="str">
        <f t="shared" ref="M101:M132" si="11">IF($A101="","",I101-L101)</f>
        <v/>
      </c>
      <c r="N101" s="25" t="str">
        <f>IF($A101="","",INDEX(Empleados!$J$2:$J$201,MATCH($A101,Empleados!$A$2:$A$201,0)))</f>
        <v/>
      </c>
    </row>
    <row r="102" spans="1:14" x14ac:dyDescent="0.45">
      <c r="A102" s="24" t="str">
        <f>IF(ROW()-4&lt;=COUNTA(Empleados!$A$2:$A$201),INDEX(Empleados!$A$2:$A$201,ROW()-4),"")</f>
        <v/>
      </c>
      <c r="B102" s="25" t="str">
        <f>IF($A102="","",INDEX(Empleados!$E$2:$E$201,MATCH($A102,Empleados!$A$2:$A$201,0)))</f>
        <v/>
      </c>
      <c r="C102" s="25" t="str">
        <f>IF($A102="","",INDEX(Empleados!$O$2:$O$201,MATCH($A102,Empleados!$A$2:$A$201,0)))</f>
        <v/>
      </c>
      <c r="D102" s="25" t="str">
        <f>IF($A102="","",INDEX(Empleados!$P$2:$P$201,MATCH($A102,Empleados!$A$2:$A$201,0)))</f>
        <v/>
      </c>
      <c r="E102" s="20" t="str">
        <f>IF($A102="","",IF($N102&lt;&gt;"ACTIVO",0,INDEX(Empleados!$M$2:$M$201,MATCH($A102,Empleados!$A$2:$A$201,0))))</f>
        <v/>
      </c>
      <c r="F102" s="20" t="str">
        <f>IF($A102="","",IF($N102&lt;&gt;"ACTIVO",0,INDEX(Empleados!$N$2:$N$201,MATCH($A102,Empleados!$A$2:$A$201,0))))</f>
        <v/>
      </c>
      <c r="G102" s="20" t="str">
        <f>IF($A102="","",IF($N102&lt;&gt;"ACTIVO",0,SUMIFS(Conceptos_Pago!$E$2:$E$100,Conceptos_Pago!$C$2:$C$100,"FIJO",Conceptos_Pago!$D$2:$D$100,"SI")))</f>
        <v/>
      </c>
      <c r="H102" s="20" t="str">
        <f>IF($A102="","",IF($N102&lt;&gt;"ACTIVO",0,SUMIFS(Movimientos!$F$2:$F$500,Movimientos!$A$2:$A$500,$B$2,Movimientos!$B$2:$B$500,$A102,Movimientos!$C$2:$C$500,"PAGO")))</f>
        <v/>
      </c>
      <c r="I102" s="20" t="str">
        <f t="shared" si="9"/>
        <v/>
      </c>
      <c r="J102" s="20" t="str">
        <f>IF($A102="","",IF($N102&lt;&gt;"ACTIVO",0,SUMIFS(Deducciones!$E$2:$E$100,Deducciones!$F$2:$F$100,"SI",Deducciones!$G$2:$G$100,"SI",Deducciones!$C$2:$C$100,"FIJO")+E102*SUMIFS(Deducciones!$E$2:$E$100,Deducciones!$F$2:$F$100,"SI",Deducciones!$G$2:$G$100,"SI",Deducciones!$C$2:$C$100,"PORCENTAJE",Deducciones!$D$2:$D$100,"SUELDO_BASE")+I102*SUMIFS(Deducciones!$E$2:$E$100,Deducciones!$F$2:$F$100,"SI",Deducciones!$G$2:$G$100,"SI",Deducciones!$C$2:$C$100,"PORCENTAJE",Deducciones!$D$2:$D$100,"TOTAL_PERCEPCIONES")))</f>
        <v/>
      </c>
      <c r="K102" s="20" t="str">
        <f>IF($A102="","",IF($N102&lt;&gt;"ACTIVO",0,SUMIFS(Movimientos!$F$2:$F$500,Movimientos!$A$2:$A$500,$B$2,Movimientos!$B$2:$B$500,$A102,Movimientos!$C$2:$C$500,"DEDUCCION")))</f>
        <v/>
      </c>
      <c r="L102" s="20" t="str">
        <f t="shared" si="10"/>
        <v/>
      </c>
      <c r="M102" s="20" t="str">
        <f t="shared" si="11"/>
        <v/>
      </c>
      <c r="N102" s="25" t="str">
        <f>IF($A102="","",INDEX(Empleados!$J$2:$J$201,MATCH($A102,Empleados!$A$2:$A$201,0)))</f>
        <v/>
      </c>
    </row>
    <row r="103" spans="1:14" x14ac:dyDescent="0.45">
      <c r="A103" s="24" t="str">
        <f>IF(ROW()-4&lt;=COUNTA(Empleados!$A$2:$A$201),INDEX(Empleados!$A$2:$A$201,ROW()-4),"")</f>
        <v/>
      </c>
      <c r="B103" s="25" t="str">
        <f>IF($A103="","",INDEX(Empleados!$E$2:$E$201,MATCH($A103,Empleados!$A$2:$A$201,0)))</f>
        <v/>
      </c>
      <c r="C103" s="25" t="str">
        <f>IF($A103="","",INDEX(Empleados!$O$2:$O$201,MATCH($A103,Empleados!$A$2:$A$201,0)))</f>
        <v/>
      </c>
      <c r="D103" s="25" t="str">
        <f>IF($A103="","",INDEX(Empleados!$P$2:$P$201,MATCH($A103,Empleados!$A$2:$A$201,0)))</f>
        <v/>
      </c>
      <c r="E103" s="20" t="str">
        <f>IF($A103="","",IF($N103&lt;&gt;"ACTIVO",0,INDEX(Empleados!$M$2:$M$201,MATCH($A103,Empleados!$A$2:$A$201,0))))</f>
        <v/>
      </c>
      <c r="F103" s="20" t="str">
        <f>IF($A103="","",IF($N103&lt;&gt;"ACTIVO",0,INDEX(Empleados!$N$2:$N$201,MATCH($A103,Empleados!$A$2:$A$201,0))))</f>
        <v/>
      </c>
      <c r="G103" s="20" t="str">
        <f>IF($A103="","",IF($N103&lt;&gt;"ACTIVO",0,SUMIFS(Conceptos_Pago!$E$2:$E$100,Conceptos_Pago!$C$2:$C$100,"FIJO",Conceptos_Pago!$D$2:$D$100,"SI")))</f>
        <v/>
      </c>
      <c r="H103" s="20" t="str">
        <f>IF($A103="","",IF($N103&lt;&gt;"ACTIVO",0,SUMIFS(Movimientos!$F$2:$F$500,Movimientos!$A$2:$A$500,$B$2,Movimientos!$B$2:$B$500,$A103,Movimientos!$C$2:$C$500,"PAGO")))</f>
        <v/>
      </c>
      <c r="I103" s="20" t="str">
        <f t="shared" si="9"/>
        <v/>
      </c>
      <c r="J103" s="20" t="str">
        <f>IF($A103="","",IF($N103&lt;&gt;"ACTIVO",0,SUMIFS(Deducciones!$E$2:$E$100,Deducciones!$F$2:$F$100,"SI",Deducciones!$G$2:$G$100,"SI",Deducciones!$C$2:$C$100,"FIJO")+E103*SUMIFS(Deducciones!$E$2:$E$100,Deducciones!$F$2:$F$100,"SI",Deducciones!$G$2:$G$100,"SI",Deducciones!$C$2:$C$100,"PORCENTAJE",Deducciones!$D$2:$D$100,"SUELDO_BASE")+I103*SUMIFS(Deducciones!$E$2:$E$100,Deducciones!$F$2:$F$100,"SI",Deducciones!$G$2:$G$100,"SI",Deducciones!$C$2:$C$100,"PORCENTAJE",Deducciones!$D$2:$D$100,"TOTAL_PERCEPCIONES")))</f>
        <v/>
      </c>
      <c r="K103" s="20" t="str">
        <f>IF($A103="","",IF($N103&lt;&gt;"ACTIVO",0,SUMIFS(Movimientos!$F$2:$F$500,Movimientos!$A$2:$A$500,$B$2,Movimientos!$B$2:$B$500,$A103,Movimientos!$C$2:$C$500,"DEDUCCION")))</f>
        <v/>
      </c>
      <c r="L103" s="20" t="str">
        <f t="shared" si="10"/>
        <v/>
      </c>
      <c r="M103" s="20" t="str">
        <f t="shared" si="11"/>
        <v/>
      </c>
      <c r="N103" s="25" t="str">
        <f>IF($A103="","",INDEX(Empleados!$J$2:$J$201,MATCH($A103,Empleados!$A$2:$A$201,0)))</f>
        <v/>
      </c>
    </row>
    <row r="104" spans="1:14" x14ac:dyDescent="0.45">
      <c r="A104" s="24" t="str">
        <f>IF(ROW()-4&lt;=COUNTA(Empleados!$A$2:$A$201),INDEX(Empleados!$A$2:$A$201,ROW()-4),"")</f>
        <v/>
      </c>
      <c r="B104" s="25" t="str">
        <f>IF($A104="","",INDEX(Empleados!$E$2:$E$201,MATCH($A104,Empleados!$A$2:$A$201,0)))</f>
        <v/>
      </c>
      <c r="C104" s="25" t="str">
        <f>IF($A104="","",INDEX(Empleados!$O$2:$O$201,MATCH($A104,Empleados!$A$2:$A$201,0)))</f>
        <v/>
      </c>
      <c r="D104" s="25" t="str">
        <f>IF($A104="","",INDEX(Empleados!$P$2:$P$201,MATCH($A104,Empleados!$A$2:$A$201,0)))</f>
        <v/>
      </c>
      <c r="E104" s="20" t="str">
        <f>IF($A104="","",IF($N104&lt;&gt;"ACTIVO",0,INDEX(Empleados!$M$2:$M$201,MATCH($A104,Empleados!$A$2:$A$201,0))))</f>
        <v/>
      </c>
      <c r="F104" s="20" t="str">
        <f>IF($A104="","",IF($N104&lt;&gt;"ACTIVO",0,INDEX(Empleados!$N$2:$N$201,MATCH($A104,Empleados!$A$2:$A$201,0))))</f>
        <v/>
      </c>
      <c r="G104" s="20" t="str">
        <f>IF($A104="","",IF($N104&lt;&gt;"ACTIVO",0,SUMIFS(Conceptos_Pago!$E$2:$E$100,Conceptos_Pago!$C$2:$C$100,"FIJO",Conceptos_Pago!$D$2:$D$100,"SI")))</f>
        <v/>
      </c>
      <c r="H104" s="20" t="str">
        <f>IF($A104="","",IF($N104&lt;&gt;"ACTIVO",0,SUMIFS(Movimientos!$F$2:$F$500,Movimientos!$A$2:$A$500,$B$2,Movimientos!$B$2:$B$500,$A104,Movimientos!$C$2:$C$500,"PAGO")))</f>
        <v/>
      </c>
      <c r="I104" s="20" t="str">
        <f t="shared" si="9"/>
        <v/>
      </c>
      <c r="J104" s="20" t="str">
        <f>IF($A104="","",IF($N104&lt;&gt;"ACTIVO",0,SUMIFS(Deducciones!$E$2:$E$100,Deducciones!$F$2:$F$100,"SI",Deducciones!$G$2:$G$100,"SI",Deducciones!$C$2:$C$100,"FIJO")+E104*SUMIFS(Deducciones!$E$2:$E$100,Deducciones!$F$2:$F$100,"SI",Deducciones!$G$2:$G$100,"SI",Deducciones!$C$2:$C$100,"PORCENTAJE",Deducciones!$D$2:$D$100,"SUELDO_BASE")+I104*SUMIFS(Deducciones!$E$2:$E$100,Deducciones!$F$2:$F$100,"SI",Deducciones!$G$2:$G$100,"SI",Deducciones!$C$2:$C$100,"PORCENTAJE",Deducciones!$D$2:$D$100,"TOTAL_PERCEPCIONES")))</f>
        <v/>
      </c>
      <c r="K104" s="20" t="str">
        <f>IF($A104="","",IF($N104&lt;&gt;"ACTIVO",0,SUMIFS(Movimientos!$F$2:$F$500,Movimientos!$A$2:$A$500,$B$2,Movimientos!$B$2:$B$500,$A104,Movimientos!$C$2:$C$500,"DEDUCCION")))</f>
        <v/>
      </c>
      <c r="L104" s="20" t="str">
        <f t="shared" si="10"/>
        <v/>
      </c>
      <c r="M104" s="20" t="str">
        <f t="shared" si="11"/>
        <v/>
      </c>
      <c r="N104" s="25" t="str">
        <f>IF($A104="","",INDEX(Empleados!$J$2:$J$201,MATCH($A104,Empleados!$A$2:$A$201,0)))</f>
        <v/>
      </c>
    </row>
    <row r="105" spans="1:14" x14ac:dyDescent="0.45">
      <c r="A105" s="24" t="str">
        <f>IF(ROW()-4&lt;=COUNTA(Empleados!$A$2:$A$201),INDEX(Empleados!$A$2:$A$201,ROW()-4),"")</f>
        <v/>
      </c>
      <c r="B105" s="25" t="str">
        <f>IF($A105="","",INDEX(Empleados!$E$2:$E$201,MATCH($A105,Empleados!$A$2:$A$201,0)))</f>
        <v/>
      </c>
      <c r="C105" s="25" t="str">
        <f>IF($A105="","",INDEX(Empleados!$O$2:$O$201,MATCH($A105,Empleados!$A$2:$A$201,0)))</f>
        <v/>
      </c>
      <c r="D105" s="25" t="str">
        <f>IF($A105="","",INDEX(Empleados!$P$2:$P$201,MATCH($A105,Empleados!$A$2:$A$201,0)))</f>
        <v/>
      </c>
      <c r="E105" s="20" t="str">
        <f>IF($A105="","",IF($N105&lt;&gt;"ACTIVO",0,INDEX(Empleados!$M$2:$M$201,MATCH($A105,Empleados!$A$2:$A$201,0))))</f>
        <v/>
      </c>
      <c r="F105" s="20" t="str">
        <f>IF($A105="","",IF($N105&lt;&gt;"ACTIVO",0,INDEX(Empleados!$N$2:$N$201,MATCH($A105,Empleados!$A$2:$A$201,0))))</f>
        <v/>
      </c>
      <c r="G105" s="20" t="str">
        <f>IF($A105="","",IF($N105&lt;&gt;"ACTIVO",0,SUMIFS(Conceptos_Pago!$E$2:$E$100,Conceptos_Pago!$C$2:$C$100,"FIJO",Conceptos_Pago!$D$2:$D$100,"SI")))</f>
        <v/>
      </c>
      <c r="H105" s="20" t="str">
        <f>IF($A105="","",IF($N105&lt;&gt;"ACTIVO",0,SUMIFS(Movimientos!$F$2:$F$500,Movimientos!$A$2:$A$500,$B$2,Movimientos!$B$2:$B$500,$A105,Movimientos!$C$2:$C$500,"PAGO")))</f>
        <v/>
      </c>
      <c r="I105" s="20" t="str">
        <f t="shared" si="9"/>
        <v/>
      </c>
      <c r="J105" s="20" t="str">
        <f>IF($A105="","",IF($N105&lt;&gt;"ACTIVO",0,SUMIFS(Deducciones!$E$2:$E$100,Deducciones!$F$2:$F$100,"SI",Deducciones!$G$2:$G$100,"SI",Deducciones!$C$2:$C$100,"FIJO")+E105*SUMIFS(Deducciones!$E$2:$E$100,Deducciones!$F$2:$F$100,"SI",Deducciones!$G$2:$G$100,"SI",Deducciones!$C$2:$C$100,"PORCENTAJE",Deducciones!$D$2:$D$100,"SUELDO_BASE")+I105*SUMIFS(Deducciones!$E$2:$E$100,Deducciones!$F$2:$F$100,"SI",Deducciones!$G$2:$G$100,"SI",Deducciones!$C$2:$C$100,"PORCENTAJE",Deducciones!$D$2:$D$100,"TOTAL_PERCEPCIONES")))</f>
        <v/>
      </c>
      <c r="K105" s="20" t="str">
        <f>IF($A105="","",IF($N105&lt;&gt;"ACTIVO",0,SUMIFS(Movimientos!$F$2:$F$500,Movimientos!$A$2:$A$500,$B$2,Movimientos!$B$2:$B$500,$A105,Movimientos!$C$2:$C$500,"DEDUCCION")))</f>
        <v/>
      </c>
      <c r="L105" s="20" t="str">
        <f t="shared" si="10"/>
        <v/>
      </c>
      <c r="M105" s="20" t="str">
        <f t="shared" si="11"/>
        <v/>
      </c>
      <c r="N105" s="25" t="str">
        <f>IF($A105="","",INDEX(Empleados!$J$2:$J$201,MATCH($A105,Empleados!$A$2:$A$201,0)))</f>
        <v/>
      </c>
    </row>
    <row r="106" spans="1:14" x14ac:dyDescent="0.45">
      <c r="A106" s="24" t="str">
        <f>IF(ROW()-4&lt;=COUNTA(Empleados!$A$2:$A$201),INDEX(Empleados!$A$2:$A$201,ROW()-4),"")</f>
        <v/>
      </c>
      <c r="B106" s="25" t="str">
        <f>IF($A106="","",INDEX(Empleados!$E$2:$E$201,MATCH($A106,Empleados!$A$2:$A$201,0)))</f>
        <v/>
      </c>
      <c r="C106" s="25" t="str">
        <f>IF($A106="","",INDEX(Empleados!$O$2:$O$201,MATCH($A106,Empleados!$A$2:$A$201,0)))</f>
        <v/>
      </c>
      <c r="D106" s="25" t="str">
        <f>IF($A106="","",INDEX(Empleados!$P$2:$P$201,MATCH($A106,Empleados!$A$2:$A$201,0)))</f>
        <v/>
      </c>
      <c r="E106" s="20" t="str">
        <f>IF($A106="","",IF($N106&lt;&gt;"ACTIVO",0,INDEX(Empleados!$M$2:$M$201,MATCH($A106,Empleados!$A$2:$A$201,0))))</f>
        <v/>
      </c>
      <c r="F106" s="20" t="str">
        <f>IF($A106="","",IF($N106&lt;&gt;"ACTIVO",0,INDEX(Empleados!$N$2:$N$201,MATCH($A106,Empleados!$A$2:$A$201,0))))</f>
        <v/>
      </c>
      <c r="G106" s="20" t="str">
        <f>IF($A106="","",IF($N106&lt;&gt;"ACTIVO",0,SUMIFS(Conceptos_Pago!$E$2:$E$100,Conceptos_Pago!$C$2:$C$100,"FIJO",Conceptos_Pago!$D$2:$D$100,"SI")))</f>
        <v/>
      </c>
      <c r="H106" s="20" t="str">
        <f>IF($A106="","",IF($N106&lt;&gt;"ACTIVO",0,SUMIFS(Movimientos!$F$2:$F$500,Movimientos!$A$2:$A$500,$B$2,Movimientos!$B$2:$B$500,$A106,Movimientos!$C$2:$C$500,"PAGO")))</f>
        <v/>
      </c>
      <c r="I106" s="20" t="str">
        <f t="shared" si="9"/>
        <v/>
      </c>
      <c r="J106" s="20" t="str">
        <f>IF($A106="","",IF($N106&lt;&gt;"ACTIVO",0,SUMIFS(Deducciones!$E$2:$E$100,Deducciones!$F$2:$F$100,"SI",Deducciones!$G$2:$G$100,"SI",Deducciones!$C$2:$C$100,"FIJO")+E106*SUMIFS(Deducciones!$E$2:$E$100,Deducciones!$F$2:$F$100,"SI",Deducciones!$G$2:$G$100,"SI",Deducciones!$C$2:$C$100,"PORCENTAJE",Deducciones!$D$2:$D$100,"SUELDO_BASE")+I106*SUMIFS(Deducciones!$E$2:$E$100,Deducciones!$F$2:$F$100,"SI",Deducciones!$G$2:$G$100,"SI",Deducciones!$C$2:$C$100,"PORCENTAJE",Deducciones!$D$2:$D$100,"TOTAL_PERCEPCIONES")))</f>
        <v/>
      </c>
      <c r="K106" s="20" t="str">
        <f>IF($A106="","",IF($N106&lt;&gt;"ACTIVO",0,SUMIFS(Movimientos!$F$2:$F$500,Movimientos!$A$2:$A$500,$B$2,Movimientos!$B$2:$B$500,$A106,Movimientos!$C$2:$C$500,"DEDUCCION")))</f>
        <v/>
      </c>
      <c r="L106" s="20" t="str">
        <f t="shared" si="10"/>
        <v/>
      </c>
      <c r="M106" s="20" t="str">
        <f t="shared" si="11"/>
        <v/>
      </c>
      <c r="N106" s="25" t="str">
        <f>IF($A106="","",INDEX(Empleados!$J$2:$J$201,MATCH($A106,Empleados!$A$2:$A$201,0)))</f>
        <v/>
      </c>
    </row>
    <row r="107" spans="1:14" x14ac:dyDescent="0.45">
      <c r="A107" s="24" t="str">
        <f>IF(ROW()-4&lt;=COUNTA(Empleados!$A$2:$A$201),INDEX(Empleados!$A$2:$A$201,ROW()-4),"")</f>
        <v/>
      </c>
      <c r="B107" s="25" t="str">
        <f>IF($A107="","",INDEX(Empleados!$E$2:$E$201,MATCH($A107,Empleados!$A$2:$A$201,0)))</f>
        <v/>
      </c>
      <c r="C107" s="25" t="str">
        <f>IF($A107="","",INDEX(Empleados!$O$2:$O$201,MATCH($A107,Empleados!$A$2:$A$201,0)))</f>
        <v/>
      </c>
      <c r="D107" s="25" t="str">
        <f>IF($A107="","",INDEX(Empleados!$P$2:$P$201,MATCH($A107,Empleados!$A$2:$A$201,0)))</f>
        <v/>
      </c>
      <c r="E107" s="20" t="str">
        <f>IF($A107="","",IF($N107&lt;&gt;"ACTIVO",0,INDEX(Empleados!$M$2:$M$201,MATCH($A107,Empleados!$A$2:$A$201,0))))</f>
        <v/>
      </c>
      <c r="F107" s="20" t="str">
        <f>IF($A107="","",IF($N107&lt;&gt;"ACTIVO",0,INDEX(Empleados!$N$2:$N$201,MATCH($A107,Empleados!$A$2:$A$201,0))))</f>
        <v/>
      </c>
      <c r="G107" s="20" t="str">
        <f>IF($A107="","",IF($N107&lt;&gt;"ACTIVO",0,SUMIFS(Conceptos_Pago!$E$2:$E$100,Conceptos_Pago!$C$2:$C$100,"FIJO",Conceptos_Pago!$D$2:$D$100,"SI")))</f>
        <v/>
      </c>
      <c r="H107" s="20" t="str">
        <f>IF($A107="","",IF($N107&lt;&gt;"ACTIVO",0,SUMIFS(Movimientos!$F$2:$F$500,Movimientos!$A$2:$A$500,$B$2,Movimientos!$B$2:$B$500,$A107,Movimientos!$C$2:$C$500,"PAGO")))</f>
        <v/>
      </c>
      <c r="I107" s="20" t="str">
        <f t="shared" si="9"/>
        <v/>
      </c>
      <c r="J107" s="20" t="str">
        <f>IF($A107="","",IF($N107&lt;&gt;"ACTIVO",0,SUMIFS(Deducciones!$E$2:$E$100,Deducciones!$F$2:$F$100,"SI",Deducciones!$G$2:$G$100,"SI",Deducciones!$C$2:$C$100,"FIJO")+E107*SUMIFS(Deducciones!$E$2:$E$100,Deducciones!$F$2:$F$100,"SI",Deducciones!$G$2:$G$100,"SI",Deducciones!$C$2:$C$100,"PORCENTAJE",Deducciones!$D$2:$D$100,"SUELDO_BASE")+I107*SUMIFS(Deducciones!$E$2:$E$100,Deducciones!$F$2:$F$100,"SI",Deducciones!$G$2:$G$100,"SI",Deducciones!$C$2:$C$100,"PORCENTAJE",Deducciones!$D$2:$D$100,"TOTAL_PERCEPCIONES")))</f>
        <v/>
      </c>
      <c r="K107" s="20" t="str">
        <f>IF($A107="","",IF($N107&lt;&gt;"ACTIVO",0,SUMIFS(Movimientos!$F$2:$F$500,Movimientos!$A$2:$A$500,$B$2,Movimientos!$B$2:$B$500,$A107,Movimientos!$C$2:$C$500,"DEDUCCION")))</f>
        <v/>
      </c>
      <c r="L107" s="20" t="str">
        <f t="shared" si="10"/>
        <v/>
      </c>
      <c r="M107" s="20" t="str">
        <f t="shared" si="11"/>
        <v/>
      </c>
      <c r="N107" s="25" t="str">
        <f>IF($A107="","",INDEX(Empleados!$J$2:$J$201,MATCH($A107,Empleados!$A$2:$A$201,0)))</f>
        <v/>
      </c>
    </row>
    <row r="108" spans="1:14" x14ac:dyDescent="0.45">
      <c r="A108" s="24" t="str">
        <f>IF(ROW()-4&lt;=COUNTA(Empleados!$A$2:$A$201),INDEX(Empleados!$A$2:$A$201,ROW()-4),"")</f>
        <v/>
      </c>
      <c r="B108" s="25" t="str">
        <f>IF($A108="","",INDEX(Empleados!$E$2:$E$201,MATCH($A108,Empleados!$A$2:$A$201,0)))</f>
        <v/>
      </c>
      <c r="C108" s="25" t="str">
        <f>IF($A108="","",INDEX(Empleados!$O$2:$O$201,MATCH($A108,Empleados!$A$2:$A$201,0)))</f>
        <v/>
      </c>
      <c r="D108" s="25" t="str">
        <f>IF($A108="","",INDEX(Empleados!$P$2:$P$201,MATCH($A108,Empleados!$A$2:$A$201,0)))</f>
        <v/>
      </c>
      <c r="E108" s="20" t="str">
        <f>IF($A108="","",IF($N108&lt;&gt;"ACTIVO",0,INDEX(Empleados!$M$2:$M$201,MATCH($A108,Empleados!$A$2:$A$201,0))))</f>
        <v/>
      </c>
      <c r="F108" s="20" t="str">
        <f>IF($A108="","",IF($N108&lt;&gt;"ACTIVO",0,INDEX(Empleados!$N$2:$N$201,MATCH($A108,Empleados!$A$2:$A$201,0))))</f>
        <v/>
      </c>
      <c r="G108" s="20" t="str">
        <f>IF($A108="","",IF($N108&lt;&gt;"ACTIVO",0,SUMIFS(Conceptos_Pago!$E$2:$E$100,Conceptos_Pago!$C$2:$C$100,"FIJO",Conceptos_Pago!$D$2:$D$100,"SI")))</f>
        <v/>
      </c>
      <c r="H108" s="20" t="str">
        <f>IF($A108="","",IF($N108&lt;&gt;"ACTIVO",0,SUMIFS(Movimientos!$F$2:$F$500,Movimientos!$A$2:$A$500,$B$2,Movimientos!$B$2:$B$500,$A108,Movimientos!$C$2:$C$500,"PAGO")))</f>
        <v/>
      </c>
      <c r="I108" s="20" t="str">
        <f t="shared" si="9"/>
        <v/>
      </c>
      <c r="J108" s="20" t="str">
        <f>IF($A108="","",IF($N108&lt;&gt;"ACTIVO",0,SUMIFS(Deducciones!$E$2:$E$100,Deducciones!$F$2:$F$100,"SI",Deducciones!$G$2:$G$100,"SI",Deducciones!$C$2:$C$100,"FIJO")+E108*SUMIFS(Deducciones!$E$2:$E$100,Deducciones!$F$2:$F$100,"SI",Deducciones!$G$2:$G$100,"SI",Deducciones!$C$2:$C$100,"PORCENTAJE",Deducciones!$D$2:$D$100,"SUELDO_BASE")+I108*SUMIFS(Deducciones!$E$2:$E$100,Deducciones!$F$2:$F$100,"SI",Deducciones!$G$2:$G$100,"SI",Deducciones!$C$2:$C$100,"PORCENTAJE",Deducciones!$D$2:$D$100,"TOTAL_PERCEPCIONES")))</f>
        <v/>
      </c>
      <c r="K108" s="20" t="str">
        <f>IF($A108="","",IF($N108&lt;&gt;"ACTIVO",0,SUMIFS(Movimientos!$F$2:$F$500,Movimientos!$A$2:$A$500,$B$2,Movimientos!$B$2:$B$500,$A108,Movimientos!$C$2:$C$500,"DEDUCCION")))</f>
        <v/>
      </c>
      <c r="L108" s="20" t="str">
        <f t="shared" si="10"/>
        <v/>
      </c>
      <c r="M108" s="20" t="str">
        <f t="shared" si="11"/>
        <v/>
      </c>
      <c r="N108" s="25" t="str">
        <f>IF($A108="","",INDEX(Empleados!$J$2:$J$201,MATCH($A108,Empleados!$A$2:$A$201,0)))</f>
        <v/>
      </c>
    </row>
    <row r="109" spans="1:14" x14ac:dyDescent="0.45">
      <c r="A109" s="24" t="str">
        <f>IF(ROW()-4&lt;=COUNTA(Empleados!$A$2:$A$201),INDEX(Empleados!$A$2:$A$201,ROW()-4),"")</f>
        <v/>
      </c>
      <c r="B109" s="25" t="str">
        <f>IF($A109="","",INDEX(Empleados!$E$2:$E$201,MATCH($A109,Empleados!$A$2:$A$201,0)))</f>
        <v/>
      </c>
      <c r="C109" s="25" t="str">
        <f>IF($A109="","",INDEX(Empleados!$O$2:$O$201,MATCH($A109,Empleados!$A$2:$A$201,0)))</f>
        <v/>
      </c>
      <c r="D109" s="25" t="str">
        <f>IF($A109="","",INDEX(Empleados!$P$2:$P$201,MATCH($A109,Empleados!$A$2:$A$201,0)))</f>
        <v/>
      </c>
      <c r="E109" s="20" t="str">
        <f>IF($A109="","",IF($N109&lt;&gt;"ACTIVO",0,INDEX(Empleados!$M$2:$M$201,MATCH($A109,Empleados!$A$2:$A$201,0))))</f>
        <v/>
      </c>
      <c r="F109" s="20" t="str">
        <f>IF($A109="","",IF($N109&lt;&gt;"ACTIVO",0,INDEX(Empleados!$N$2:$N$201,MATCH($A109,Empleados!$A$2:$A$201,0))))</f>
        <v/>
      </c>
      <c r="G109" s="20" t="str">
        <f>IF($A109="","",IF($N109&lt;&gt;"ACTIVO",0,SUMIFS(Conceptos_Pago!$E$2:$E$100,Conceptos_Pago!$C$2:$C$100,"FIJO",Conceptos_Pago!$D$2:$D$100,"SI")))</f>
        <v/>
      </c>
      <c r="H109" s="20" t="str">
        <f>IF($A109="","",IF($N109&lt;&gt;"ACTIVO",0,SUMIFS(Movimientos!$F$2:$F$500,Movimientos!$A$2:$A$500,$B$2,Movimientos!$B$2:$B$500,$A109,Movimientos!$C$2:$C$500,"PAGO")))</f>
        <v/>
      </c>
      <c r="I109" s="20" t="str">
        <f t="shared" si="9"/>
        <v/>
      </c>
      <c r="J109" s="20" t="str">
        <f>IF($A109="","",IF($N109&lt;&gt;"ACTIVO",0,SUMIFS(Deducciones!$E$2:$E$100,Deducciones!$F$2:$F$100,"SI",Deducciones!$G$2:$G$100,"SI",Deducciones!$C$2:$C$100,"FIJO")+E109*SUMIFS(Deducciones!$E$2:$E$100,Deducciones!$F$2:$F$100,"SI",Deducciones!$G$2:$G$100,"SI",Deducciones!$C$2:$C$100,"PORCENTAJE",Deducciones!$D$2:$D$100,"SUELDO_BASE")+I109*SUMIFS(Deducciones!$E$2:$E$100,Deducciones!$F$2:$F$100,"SI",Deducciones!$G$2:$G$100,"SI",Deducciones!$C$2:$C$100,"PORCENTAJE",Deducciones!$D$2:$D$100,"TOTAL_PERCEPCIONES")))</f>
        <v/>
      </c>
      <c r="K109" s="20" t="str">
        <f>IF($A109="","",IF($N109&lt;&gt;"ACTIVO",0,SUMIFS(Movimientos!$F$2:$F$500,Movimientos!$A$2:$A$500,$B$2,Movimientos!$B$2:$B$500,$A109,Movimientos!$C$2:$C$500,"DEDUCCION")))</f>
        <v/>
      </c>
      <c r="L109" s="20" t="str">
        <f t="shared" si="10"/>
        <v/>
      </c>
      <c r="M109" s="20" t="str">
        <f t="shared" si="11"/>
        <v/>
      </c>
      <c r="N109" s="25" t="str">
        <f>IF($A109="","",INDEX(Empleados!$J$2:$J$201,MATCH($A109,Empleados!$A$2:$A$201,0)))</f>
        <v/>
      </c>
    </row>
    <row r="110" spans="1:14" x14ac:dyDescent="0.45">
      <c r="A110" s="24" t="str">
        <f>IF(ROW()-4&lt;=COUNTA(Empleados!$A$2:$A$201),INDEX(Empleados!$A$2:$A$201,ROW()-4),"")</f>
        <v/>
      </c>
      <c r="B110" s="25" t="str">
        <f>IF($A110="","",INDEX(Empleados!$E$2:$E$201,MATCH($A110,Empleados!$A$2:$A$201,0)))</f>
        <v/>
      </c>
      <c r="C110" s="25" t="str">
        <f>IF($A110="","",INDEX(Empleados!$O$2:$O$201,MATCH($A110,Empleados!$A$2:$A$201,0)))</f>
        <v/>
      </c>
      <c r="D110" s="25" t="str">
        <f>IF($A110="","",INDEX(Empleados!$P$2:$P$201,MATCH($A110,Empleados!$A$2:$A$201,0)))</f>
        <v/>
      </c>
      <c r="E110" s="20" t="str">
        <f>IF($A110="","",IF($N110&lt;&gt;"ACTIVO",0,INDEX(Empleados!$M$2:$M$201,MATCH($A110,Empleados!$A$2:$A$201,0))))</f>
        <v/>
      </c>
      <c r="F110" s="20" t="str">
        <f>IF($A110="","",IF($N110&lt;&gt;"ACTIVO",0,INDEX(Empleados!$N$2:$N$201,MATCH($A110,Empleados!$A$2:$A$201,0))))</f>
        <v/>
      </c>
      <c r="G110" s="20" t="str">
        <f>IF($A110="","",IF($N110&lt;&gt;"ACTIVO",0,SUMIFS(Conceptos_Pago!$E$2:$E$100,Conceptos_Pago!$C$2:$C$100,"FIJO",Conceptos_Pago!$D$2:$D$100,"SI")))</f>
        <v/>
      </c>
      <c r="H110" s="20" t="str">
        <f>IF($A110="","",IF($N110&lt;&gt;"ACTIVO",0,SUMIFS(Movimientos!$F$2:$F$500,Movimientos!$A$2:$A$500,$B$2,Movimientos!$B$2:$B$500,$A110,Movimientos!$C$2:$C$500,"PAGO")))</f>
        <v/>
      </c>
      <c r="I110" s="20" t="str">
        <f t="shared" si="9"/>
        <v/>
      </c>
      <c r="J110" s="20" t="str">
        <f>IF($A110="","",IF($N110&lt;&gt;"ACTIVO",0,SUMIFS(Deducciones!$E$2:$E$100,Deducciones!$F$2:$F$100,"SI",Deducciones!$G$2:$G$100,"SI",Deducciones!$C$2:$C$100,"FIJO")+E110*SUMIFS(Deducciones!$E$2:$E$100,Deducciones!$F$2:$F$100,"SI",Deducciones!$G$2:$G$100,"SI",Deducciones!$C$2:$C$100,"PORCENTAJE",Deducciones!$D$2:$D$100,"SUELDO_BASE")+I110*SUMIFS(Deducciones!$E$2:$E$100,Deducciones!$F$2:$F$100,"SI",Deducciones!$G$2:$G$100,"SI",Deducciones!$C$2:$C$100,"PORCENTAJE",Deducciones!$D$2:$D$100,"TOTAL_PERCEPCIONES")))</f>
        <v/>
      </c>
      <c r="K110" s="20" t="str">
        <f>IF($A110="","",IF($N110&lt;&gt;"ACTIVO",0,SUMIFS(Movimientos!$F$2:$F$500,Movimientos!$A$2:$A$500,$B$2,Movimientos!$B$2:$B$500,$A110,Movimientos!$C$2:$C$500,"DEDUCCION")))</f>
        <v/>
      </c>
      <c r="L110" s="20" t="str">
        <f t="shared" si="10"/>
        <v/>
      </c>
      <c r="M110" s="20" t="str">
        <f t="shared" si="11"/>
        <v/>
      </c>
      <c r="N110" s="25" t="str">
        <f>IF($A110="","",INDEX(Empleados!$J$2:$J$201,MATCH($A110,Empleados!$A$2:$A$201,0)))</f>
        <v/>
      </c>
    </row>
    <row r="111" spans="1:14" x14ac:dyDescent="0.45">
      <c r="A111" s="24" t="str">
        <f>IF(ROW()-4&lt;=COUNTA(Empleados!$A$2:$A$201),INDEX(Empleados!$A$2:$A$201,ROW()-4),"")</f>
        <v/>
      </c>
      <c r="B111" s="25" t="str">
        <f>IF($A111="","",INDEX(Empleados!$E$2:$E$201,MATCH($A111,Empleados!$A$2:$A$201,0)))</f>
        <v/>
      </c>
      <c r="C111" s="25" t="str">
        <f>IF($A111="","",INDEX(Empleados!$O$2:$O$201,MATCH($A111,Empleados!$A$2:$A$201,0)))</f>
        <v/>
      </c>
      <c r="D111" s="25" t="str">
        <f>IF($A111="","",INDEX(Empleados!$P$2:$P$201,MATCH($A111,Empleados!$A$2:$A$201,0)))</f>
        <v/>
      </c>
      <c r="E111" s="20" t="str">
        <f>IF($A111="","",IF($N111&lt;&gt;"ACTIVO",0,INDEX(Empleados!$M$2:$M$201,MATCH($A111,Empleados!$A$2:$A$201,0))))</f>
        <v/>
      </c>
      <c r="F111" s="20" t="str">
        <f>IF($A111="","",IF($N111&lt;&gt;"ACTIVO",0,INDEX(Empleados!$N$2:$N$201,MATCH($A111,Empleados!$A$2:$A$201,0))))</f>
        <v/>
      </c>
      <c r="G111" s="20" t="str">
        <f>IF($A111="","",IF($N111&lt;&gt;"ACTIVO",0,SUMIFS(Conceptos_Pago!$E$2:$E$100,Conceptos_Pago!$C$2:$C$100,"FIJO",Conceptos_Pago!$D$2:$D$100,"SI")))</f>
        <v/>
      </c>
      <c r="H111" s="20" t="str">
        <f>IF($A111="","",IF($N111&lt;&gt;"ACTIVO",0,SUMIFS(Movimientos!$F$2:$F$500,Movimientos!$A$2:$A$500,$B$2,Movimientos!$B$2:$B$500,$A111,Movimientos!$C$2:$C$500,"PAGO")))</f>
        <v/>
      </c>
      <c r="I111" s="20" t="str">
        <f t="shared" si="9"/>
        <v/>
      </c>
      <c r="J111" s="20" t="str">
        <f>IF($A111="","",IF($N111&lt;&gt;"ACTIVO",0,SUMIFS(Deducciones!$E$2:$E$100,Deducciones!$F$2:$F$100,"SI",Deducciones!$G$2:$G$100,"SI",Deducciones!$C$2:$C$100,"FIJO")+E111*SUMIFS(Deducciones!$E$2:$E$100,Deducciones!$F$2:$F$100,"SI",Deducciones!$G$2:$G$100,"SI",Deducciones!$C$2:$C$100,"PORCENTAJE",Deducciones!$D$2:$D$100,"SUELDO_BASE")+I111*SUMIFS(Deducciones!$E$2:$E$100,Deducciones!$F$2:$F$100,"SI",Deducciones!$G$2:$G$100,"SI",Deducciones!$C$2:$C$100,"PORCENTAJE",Deducciones!$D$2:$D$100,"TOTAL_PERCEPCIONES")))</f>
        <v/>
      </c>
      <c r="K111" s="20" t="str">
        <f>IF($A111="","",IF($N111&lt;&gt;"ACTIVO",0,SUMIFS(Movimientos!$F$2:$F$500,Movimientos!$A$2:$A$500,$B$2,Movimientos!$B$2:$B$500,$A111,Movimientos!$C$2:$C$500,"DEDUCCION")))</f>
        <v/>
      </c>
      <c r="L111" s="20" t="str">
        <f t="shared" si="10"/>
        <v/>
      </c>
      <c r="M111" s="20" t="str">
        <f t="shared" si="11"/>
        <v/>
      </c>
      <c r="N111" s="25" t="str">
        <f>IF($A111="","",INDEX(Empleados!$J$2:$J$201,MATCH($A111,Empleados!$A$2:$A$201,0)))</f>
        <v/>
      </c>
    </row>
    <row r="112" spans="1:14" x14ac:dyDescent="0.45">
      <c r="A112" s="24" t="str">
        <f>IF(ROW()-4&lt;=COUNTA(Empleados!$A$2:$A$201),INDEX(Empleados!$A$2:$A$201,ROW()-4),"")</f>
        <v/>
      </c>
      <c r="B112" s="25" t="str">
        <f>IF($A112="","",INDEX(Empleados!$E$2:$E$201,MATCH($A112,Empleados!$A$2:$A$201,0)))</f>
        <v/>
      </c>
      <c r="C112" s="25" t="str">
        <f>IF($A112="","",INDEX(Empleados!$O$2:$O$201,MATCH($A112,Empleados!$A$2:$A$201,0)))</f>
        <v/>
      </c>
      <c r="D112" s="25" t="str">
        <f>IF($A112="","",INDEX(Empleados!$P$2:$P$201,MATCH($A112,Empleados!$A$2:$A$201,0)))</f>
        <v/>
      </c>
      <c r="E112" s="20" t="str">
        <f>IF($A112="","",IF($N112&lt;&gt;"ACTIVO",0,INDEX(Empleados!$M$2:$M$201,MATCH($A112,Empleados!$A$2:$A$201,0))))</f>
        <v/>
      </c>
      <c r="F112" s="20" t="str">
        <f>IF($A112="","",IF($N112&lt;&gt;"ACTIVO",0,INDEX(Empleados!$N$2:$N$201,MATCH($A112,Empleados!$A$2:$A$201,0))))</f>
        <v/>
      </c>
      <c r="G112" s="20" t="str">
        <f>IF($A112="","",IF($N112&lt;&gt;"ACTIVO",0,SUMIFS(Conceptos_Pago!$E$2:$E$100,Conceptos_Pago!$C$2:$C$100,"FIJO",Conceptos_Pago!$D$2:$D$100,"SI")))</f>
        <v/>
      </c>
      <c r="H112" s="20" t="str">
        <f>IF($A112="","",IF($N112&lt;&gt;"ACTIVO",0,SUMIFS(Movimientos!$F$2:$F$500,Movimientos!$A$2:$A$500,$B$2,Movimientos!$B$2:$B$500,$A112,Movimientos!$C$2:$C$500,"PAGO")))</f>
        <v/>
      </c>
      <c r="I112" s="20" t="str">
        <f t="shared" si="9"/>
        <v/>
      </c>
      <c r="J112" s="20" t="str">
        <f>IF($A112="","",IF($N112&lt;&gt;"ACTIVO",0,SUMIFS(Deducciones!$E$2:$E$100,Deducciones!$F$2:$F$100,"SI",Deducciones!$G$2:$G$100,"SI",Deducciones!$C$2:$C$100,"FIJO")+E112*SUMIFS(Deducciones!$E$2:$E$100,Deducciones!$F$2:$F$100,"SI",Deducciones!$G$2:$G$100,"SI",Deducciones!$C$2:$C$100,"PORCENTAJE",Deducciones!$D$2:$D$100,"SUELDO_BASE")+I112*SUMIFS(Deducciones!$E$2:$E$100,Deducciones!$F$2:$F$100,"SI",Deducciones!$G$2:$G$100,"SI",Deducciones!$C$2:$C$100,"PORCENTAJE",Deducciones!$D$2:$D$100,"TOTAL_PERCEPCIONES")))</f>
        <v/>
      </c>
      <c r="K112" s="20" t="str">
        <f>IF($A112="","",IF($N112&lt;&gt;"ACTIVO",0,SUMIFS(Movimientos!$F$2:$F$500,Movimientos!$A$2:$A$500,$B$2,Movimientos!$B$2:$B$500,$A112,Movimientos!$C$2:$C$500,"DEDUCCION")))</f>
        <v/>
      </c>
      <c r="L112" s="20" t="str">
        <f t="shared" si="10"/>
        <v/>
      </c>
      <c r="M112" s="20" t="str">
        <f t="shared" si="11"/>
        <v/>
      </c>
      <c r="N112" s="25" t="str">
        <f>IF($A112="","",INDEX(Empleados!$J$2:$J$201,MATCH($A112,Empleados!$A$2:$A$201,0)))</f>
        <v/>
      </c>
    </row>
    <row r="113" spans="1:14" x14ac:dyDescent="0.45">
      <c r="A113" s="24" t="str">
        <f>IF(ROW()-4&lt;=COUNTA(Empleados!$A$2:$A$201),INDEX(Empleados!$A$2:$A$201,ROW()-4),"")</f>
        <v/>
      </c>
      <c r="B113" s="25" t="str">
        <f>IF($A113="","",INDEX(Empleados!$E$2:$E$201,MATCH($A113,Empleados!$A$2:$A$201,0)))</f>
        <v/>
      </c>
      <c r="C113" s="25" t="str">
        <f>IF($A113="","",INDEX(Empleados!$O$2:$O$201,MATCH($A113,Empleados!$A$2:$A$201,0)))</f>
        <v/>
      </c>
      <c r="D113" s="25" t="str">
        <f>IF($A113="","",INDEX(Empleados!$P$2:$P$201,MATCH($A113,Empleados!$A$2:$A$201,0)))</f>
        <v/>
      </c>
      <c r="E113" s="20" t="str">
        <f>IF($A113="","",IF($N113&lt;&gt;"ACTIVO",0,INDEX(Empleados!$M$2:$M$201,MATCH($A113,Empleados!$A$2:$A$201,0))))</f>
        <v/>
      </c>
      <c r="F113" s="20" t="str">
        <f>IF($A113="","",IF($N113&lt;&gt;"ACTIVO",0,INDEX(Empleados!$N$2:$N$201,MATCH($A113,Empleados!$A$2:$A$201,0))))</f>
        <v/>
      </c>
      <c r="G113" s="20" t="str">
        <f>IF($A113="","",IF($N113&lt;&gt;"ACTIVO",0,SUMIFS(Conceptos_Pago!$E$2:$E$100,Conceptos_Pago!$C$2:$C$100,"FIJO",Conceptos_Pago!$D$2:$D$100,"SI")))</f>
        <v/>
      </c>
      <c r="H113" s="20" t="str">
        <f>IF($A113="","",IF($N113&lt;&gt;"ACTIVO",0,SUMIFS(Movimientos!$F$2:$F$500,Movimientos!$A$2:$A$500,$B$2,Movimientos!$B$2:$B$500,$A113,Movimientos!$C$2:$C$500,"PAGO")))</f>
        <v/>
      </c>
      <c r="I113" s="20" t="str">
        <f t="shared" si="9"/>
        <v/>
      </c>
      <c r="J113" s="20" t="str">
        <f>IF($A113="","",IF($N113&lt;&gt;"ACTIVO",0,SUMIFS(Deducciones!$E$2:$E$100,Deducciones!$F$2:$F$100,"SI",Deducciones!$G$2:$G$100,"SI",Deducciones!$C$2:$C$100,"FIJO")+E113*SUMIFS(Deducciones!$E$2:$E$100,Deducciones!$F$2:$F$100,"SI",Deducciones!$G$2:$G$100,"SI",Deducciones!$C$2:$C$100,"PORCENTAJE",Deducciones!$D$2:$D$100,"SUELDO_BASE")+I113*SUMIFS(Deducciones!$E$2:$E$100,Deducciones!$F$2:$F$100,"SI",Deducciones!$G$2:$G$100,"SI",Deducciones!$C$2:$C$100,"PORCENTAJE",Deducciones!$D$2:$D$100,"TOTAL_PERCEPCIONES")))</f>
        <v/>
      </c>
      <c r="K113" s="20" t="str">
        <f>IF($A113="","",IF($N113&lt;&gt;"ACTIVO",0,SUMIFS(Movimientos!$F$2:$F$500,Movimientos!$A$2:$A$500,$B$2,Movimientos!$B$2:$B$500,$A113,Movimientos!$C$2:$C$500,"DEDUCCION")))</f>
        <v/>
      </c>
      <c r="L113" s="20" t="str">
        <f t="shared" si="10"/>
        <v/>
      </c>
      <c r="M113" s="20" t="str">
        <f t="shared" si="11"/>
        <v/>
      </c>
      <c r="N113" s="25" t="str">
        <f>IF($A113="","",INDEX(Empleados!$J$2:$J$201,MATCH($A113,Empleados!$A$2:$A$201,0)))</f>
        <v/>
      </c>
    </row>
    <row r="114" spans="1:14" x14ac:dyDescent="0.45">
      <c r="A114" s="24" t="str">
        <f>IF(ROW()-4&lt;=COUNTA(Empleados!$A$2:$A$201),INDEX(Empleados!$A$2:$A$201,ROW()-4),"")</f>
        <v/>
      </c>
      <c r="B114" s="25" t="str">
        <f>IF($A114="","",INDEX(Empleados!$E$2:$E$201,MATCH($A114,Empleados!$A$2:$A$201,0)))</f>
        <v/>
      </c>
      <c r="C114" s="25" t="str">
        <f>IF($A114="","",INDEX(Empleados!$O$2:$O$201,MATCH($A114,Empleados!$A$2:$A$201,0)))</f>
        <v/>
      </c>
      <c r="D114" s="25" t="str">
        <f>IF($A114="","",INDEX(Empleados!$P$2:$P$201,MATCH($A114,Empleados!$A$2:$A$201,0)))</f>
        <v/>
      </c>
      <c r="E114" s="20" t="str">
        <f>IF($A114="","",IF($N114&lt;&gt;"ACTIVO",0,INDEX(Empleados!$M$2:$M$201,MATCH($A114,Empleados!$A$2:$A$201,0))))</f>
        <v/>
      </c>
      <c r="F114" s="20" t="str">
        <f>IF($A114="","",IF($N114&lt;&gt;"ACTIVO",0,INDEX(Empleados!$N$2:$N$201,MATCH($A114,Empleados!$A$2:$A$201,0))))</f>
        <v/>
      </c>
      <c r="G114" s="20" t="str">
        <f>IF($A114="","",IF($N114&lt;&gt;"ACTIVO",0,SUMIFS(Conceptos_Pago!$E$2:$E$100,Conceptos_Pago!$C$2:$C$100,"FIJO",Conceptos_Pago!$D$2:$D$100,"SI")))</f>
        <v/>
      </c>
      <c r="H114" s="20" t="str">
        <f>IF($A114="","",IF($N114&lt;&gt;"ACTIVO",0,SUMIFS(Movimientos!$F$2:$F$500,Movimientos!$A$2:$A$500,$B$2,Movimientos!$B$2:$B$500,$A114,Movimientos!$C$2:$C$500,"PAGO")))</f>
        <v/>
      </c>
      <c r="I114" s="20" t="str">
        <f t="shared" si="9"/>
        <v/>
      </c>
      <c r="J114" s="20" t="str">
        <f>IF($A114="","",IF($N114&lt;&gt;"ACTIVO",0,SUMIFS(Deducciones!$E$2:$E$100,Deducciones!$F$2:$F$100,"SI",Deducciones!$G$2:$G$100,"SI",Deducciones!$C$2:$C$100,"FIJO")+E114*SUMIFS(Deducciones!$E$2:$E$100,Deducciones!$F$2:$F$100,"SI",Deducciones!$G$2:$G$100,"SI",Deducciones!$C$2:$C$100,"PORCENTAJE",Deducciones!$D$2:$D$100,"SUELDO_BASE")+I114*SUMIFS(Deducciones!$E$2:$E$100,Deducciones!$F$2:$F$100,"SI",Deducciones!$G$2:$G$100,"SI",Deducciones!$C$2:$C$100,"PORCENTAJE",Deducciones!$D$2:$D$100,"TOTAL_PERCEPCIONES")))</f>
        <v/>
      </c>
      <c r="K114" s="20" t="str">
        <f>IF($A114="","",IF($N114&lt;&gt;"ACTIVO",0,SUMIFS(Movimientos!$F$2:$F$500,Movimientos!$A$2:$A$500,$B$2,Movimientos!$B$2:$B$500,$A114,Movimientos!$C$2:$C$500,"DEDUCCION")))</f>
        <v/>
      </c>
      <c r="L114" s="20" t="str">
        <f t="shared" si="10"/>
        <v/>
      </c>
      <c r="M114" s="20" t="str">
        <f t="shared" si="11"/>
        <v/>
      </c>
      <c r="N114" s="25" t="str">
        <f>IF($A114="","",INDEX(Empleados!$J$2:$J$201,MATCH($A114,Empleados!$A$2:$A$201,0)))</f>
        <v/>
      </c>
    </row>
    <row r="115" spans="1:14" x14ac:dyDescent="0.45">
      <c r="A115" s="24" t="str">
        <f>IF(ROW()-4&lt;=COUNTA(Empleados!$A$2:$A$201),INDEX(Empleados!$A$2:$A$201,ROW()-4),"")</f>
        <v/>
      </c>
      <c r="B115" s="25" t="str">
        <f>IF($A115="","",INDEX(Empleados!$E$2:$E$201,MATCH($A115,Empleados!$A$2:$A$201,0)))</f>
        <v/>
      </c>
      <c r="C115" s="25" t="str">
        <f>IF($A115="","",INDEX(Empleados!$O$2:$O$201,MATCH($A115,Empleados!$A$2:$A$201,0)))</f>
        <v/>
      </c>
      <c r="D115" s="25" t="str">
        <f>IF($A115="","",INDEX(Empleados!$P$2:$P$201,MATCH($A115,Empleados!$A$2:$A$201,0)))</f>
        <v/>
      </c>
      <c r="E115" s="20" t="str">
        <f>IF($A115="","",IF($N115&lt;&gt;"ACTIVO",0,INDEX(Empleados!$M$2:$M$201,MATCH($A115,Empleados!$A$2:$A$201,0))))</f>
        <v/>
      </c>
      <c r="F115" s="20" t="str">
        <f>IF($A115="","",IF($N115&lt;&gt;"ACTIVO",0,INDEX(Empleados!$N$2:$N$201,MATCH($A115,Empleados!$A$2:$A$201,0))))</f>
        <v/>
      </c>
      <c r="G115" s="20" t="str">
        <f>IF($A115="","",IF($N115&lt;&gt;"ACTIVO",0,SUMIFS(Conceptos_Pago!$E$2:$E$100,Conceptos_Pago!$C$2:$C$100,"FIJO",Conceptos_Pago!$D$2:$D$100,"SI")))</f>
        <v/>
      </c>
      <c r="H115" s="20" t="str">
        <f>IF($A115="","",IF($N115&lt;&gt;"ACTIVO",0,SUMIFS(Movimientos!$F$2:$F$500,Movimientos!$A$2:$A$500,$B$2,Movimientos!$B$2:$B$500,$A115,Movimientos!$C$2:$C$500,"PAGO")))</f>
        <v/>
      </c>
      <c r="I115" s="20" t="str">
        <f t="shared" si="9"/>
        <v/>
      </c>
      <c r="J115" s="20" t="str">
        <f>IF($A115="","",IF($N115&lt;&gt;"ACTIVO",0,SUMIFS(Deducciones!$E$2:$E$100,Deducciones!$F$2:$F$100,"SI",Deducciones!$G$2:$G$100,"SI",Deducciones!$C$2:$C$100,"FIJO")+E115*SUMIFS(Deducciones!$E$2:$E$100,Deducciones!$F$2:$F$100,"SI",Deducciones!$G$2:$G$100,"SI",Deducciones!$C$2:$C$100,"PORCENTAJE",Deducciones!$D$2:$D$100,"SUELDO_BASE")+I115*SUMIFS(Deducciones!$E$2:$E$100,Deducciones!$F$2:$F$100,"SI",Deducciones!$G$2:$G$100,"SI",Deducciones!$C$2:$C$100,"PORCENTAJE",Deducciones!$D$2:$D$100,"TOTAL_PERCEPCIONES")))</f>
        <v/>
      </c>
      <c r="K115" s="20" t="str">
        <f>IF($A115="","",IF($N115&lt;&gt;"ACTIVO",0,SUMIFS(Movimientos!$F$2:$F$500,Movimientos!$A$2:$A$500,$B$2,Movimientos!$B$2:$B$500,$A115,Movimientos!$C$2:$C$500,"DEDUCCION")))</f>
        <v/>
      </c>
      <c r="L115" s="20" t="str">
        <f t="shared" si="10"/>
        <v/>
      </c>
      <c r="M115" s="20" t="str">
        <f t="shared" si="11"/>
        <v/>
      </c>
      <c r="N115" s="25" t="str">
        <f>IF($A115="","",INDEX(Empleados!$J$2:$J$201,MATCH($A115,Empleados!$A$2:$A$201,0)))</f>
        <v/>
      </c>
    </row>
    <row r="116" spans="1:14" x14ac:dyDescent="0.45">
      <c r="A116" s="24" t="str">
        <f>IF(ROW()-4&lt;=COUNTA(Empleados!$A$2:$A$201),INDEX(Empleados!$A$2:$A$201,ROW()-4),"")</f>
        <v/>
      </c>
      <c r="B116" s="25" t="str">
        <f>IF($A116="","",INDEX(Empleados!$E$2:$E$201,MATCH($A116,Empleados!$A$2:$A$201,0)))</f>
        <v/>
      </c>
      <c r="C116" s="25" t="str">
        <f>IF($A116="","",INDEX(Empleados!$O$2:$O$201,MATCH($A116,Empleados!$A$2:$A$201,0)))</f>
        <v/>
      </c>
      <c r="D116" s="25" t="str">
        <f>IF($A116="","",INDEX(Empleados!$P$2:$P$201,MATCH($A116,Empleados!$A$2:$A$201,0)))</f>
        <v/>
      </c>
      <c r="E116" s="20" t="str">
        <f>IF($A116="","",IF($N116&lt;&gt;"ACTIVO",0,INDEX(Empleados!$M$2:$M$201,MATCH($A116,Empleados!$A$2:$A$201,0))))</f>
        <v/>
      </c>
      <c r="F116" s="20" t="str">
        <f>IF($A116="","",IF($N116&lt;&gt;"ACTIVO",0,INDEX(Empleados!$N$2:$N$201,MATCH($A116,Empleados!$A$2:$A$201,0))))</f>
        <v/>
      </c>
      <c r="G116" s="20" t="str">
        <f>IF($A116="","",IF($N116&lt;&gt;"ACTIVO",0,SUMIFS(Conceptos_Pago!$E$2:$E$100,Conceptos_Pago!$C$2:$C$100,"FIJO",Conceptos_Pago!$D$2:$D$100,"SI")))</f>
        <v/>
      </c>
      <c r="H116" s="20" t="str">
        <f>IF($A116="","",IF($N116&lt;&gt;"ACTIVO",0,SUMIFS(Movimientos!$F$2:$F$500,Movimientos!$A$2:$A$500,$B$2,Movimientos!$B$2:$B$500,$A116,Movimientos!$C$2:$C$500,"PAGO")))</f>
        <v/>
      </c>
      <c r="I116" s="20" t="str">
        <f t="shared" si="9"/>
        <v/>
      </c>
      <c r="J116" s="20" t="str">
        <f>IF($A116="","",IF($N116&lt;&gt;"ACTIVO",0,SUMIFS(Deducciones!$E$2:$E$100,Deducciones!$F$2:$F$100,"SI",Deducciones!$G$2:$G$100,"SI",Deducciones!$C$2:$C$100,"FIJO")+E116*SUMIFS(Deducciones!$E$2:$E$100,Deducciones!$F$2:$F$100,"SI",Deducciones!$G$2:$G$100,"SI",Deducciones!$C$2:$C$100,"PORCENTAJE",Deducciones!$D$2:$D$100,"SUELDO_BASE")+I116*SUMIFS(Deducciones!$E$2:$E$100,Deducciones!$F$2:$F$100,"SI",Deducciones!$G$2:$G$100,"SI",Deducciones!$C$2:$C$100,"PORCENTAJE",Deducciones!$D$2:$D$100,"TOTAL_PERCEPCIONES")))</f>
        <v/>
      </c>
      <c r="K116" s="20" t="str">
        <f>IF($A116="","",IF($N116&lt;&gt;"ACTIVO",0,SUMIFS(Movimientos!$F$2:$F$500,Movimientos!$A$2:$A$500,$B$2,Movimientos!$B$2:$B$500,$A116,Movimientos!$C$2:$C$500,"DEDUCCION")))</f>
        <v/>
      </c>
      <c r="L116" s="20" t="str">
        <f t="shared" si="10"/>
        <v/>
      </c>
      <c r="M116" s="20" t="str">
        <f t="shared" si="11"/>
        <v/>
      </c>
      <c r="N116" s="25" t="str">
        <f>IF($A116="","",INDEX(Empleados!$J$2:$J$201,MATCH($A116,Empleados!$A$2:$A$201,0)))</f>
        <v/>
      </c>
    </row>
    <row r="117" spans="1:14" x14ac:dyDescent="0.45">
      <c r="A117" s="24" t="str">
        <f>IF(ROW()-4&lt;=COUNTA(Empleados!$A$2:$A$201),INDEX(Empleados!$A$2:$A$201,ROW()-4),"")</f>
        <v/>
      </c>
      <c r="B117" s="25" t="str">
        <f>IF($A117="","",INDEX(Empleados!$E$2:$E$201,MATCH($A117,Empleados!$A$2:$A$201,0)))</f>
        <v/>
      </c>
      <c r="C117" s="25" t="str">
        <f>IF($A117="","",INDEX(Empleados!$O$2:$O$201,MATCH($A117,Empleados!$A$2:$A$201,0)))</f>
        <v/>
      </c>
      <c r="D117" s="25" t="str">
        <f>IF($A117="","",INDEX(Empleados!$P$2:$P$201,MATCH($A117,Empleados!$A$2:$A$201,0)))</f>
        <v/>
      </c>
      <c r="E117" s="20" t="str">
        <f>IF($A117="","",IF($N117&lt;&gt;"ACTIVO",0,INDEX(Empleados!$M$2:$M$201,MATCH($A117,Empleados!$A$2:$A$201,0))))</f>
        <v/>
      </c>
      <c r="F117" s="20" t="str">
        <f>IF($A117="","",IF($N117&lt;&gt;"ACTIVO",0,INDEX(Empleados!$N$2:$N$201,MATCH($A117,Empleados!$A$2:$A$201,0))))</f>
        <v/>
      </c>
      <c r="G117" s="20" t="str">
        <f>IF($A117="","",IF($N117&lt;&gt;"ACTIVO",0,SUMIFS(Conceptos_Pago!$E$2:$E$100,Conceptos_Pago!$C$2:$C$100,"FIJO",Conceptos_Pago!$D$2:$D$100,"SI")))</f>
        <v/>
      </c>
      <c r="H117" s="20" t="str">
        <f>IF($A117="","",IF($N117&lt;&gt;"ACTIVO",0,SUMIFS(Movimientos!$F$2:$F$500,Movimientos!$A$2:$A$500,$B$2,Movimientos!$B$2:$B$500,$A117,Movimientos!$C$2:$C$500,"PAGO")))</f>
        <v/>
      </c>
      <c r="I117" s="20" t="str">
        <f t="shared" si="9"/>
        <v/>
      </c>
      <c r="J117" s="20" t="str">
        <f>IF($A117="","",IF($N117&lt;&gt;"ACTIVO",0,SUMIFS(Deducciones!$E$2:$E$100,Deducciones!$F$2:$F$100,"SI",Deducciones!$G$2:$G$100,"SI",Deducciones!$C$2:$C$100,"FIJO")+E117*SUMIFS(Deducciones!$E$2:$E$100,Deducciones!$F$2:$F$100,"SI",Deducciones!$G$2:$G$100,"SI",Deducciones!$C$2:$C$100,"PORCENTAJE",Deducciones!$D$2:$D$100,"SUELDO_BASE")+I117*SUMIFS(Deducciones!$E$2:$E$100,Deducciones!$F$2:$F$100,"SI",Deducciones!$G$2:$G$100,"SI",Deducciones!$C$2:$C$100,"PORCENTAJE",Deducciones!$D$2:$D$100,"TOTAL_PERCEPCIONES")))</f>
        <v/>
      </c>
      <c r="K117" s="20" t="str">
        <f>IF($A117="","",IF($N117&lt;&gt;"ACTIVO",0,SUMIFS(Movimientos!$F$2:$F$500,Movimientos!$A$2:$A$500,$B$2,Movimientos!$B$2:$B$500,$A117,Movimientos!$C$2:$C$500,"DEDUCCION")))</f>
        <v/>
      </c>
      <c r="L117" s="20" t="str">
        <f t="shared" si="10"/>
        <v/>
      </c>
      <c r="M117" s="20" t="str">
        <f t="shared" si="11"/>
        <v/>
      </c>
      <c r="N117" s="25" t="str">
        <f>IF($A117="","",INDEX(Empleados!$J$2:$J$201,MATCH($A117,Empleados!$A$2:$A$201,0)))</f>
        <v/>
      </c>
    </row>
    <row r="118" spans="1:14" x14ac:dyDescent="0.45">
      <c r="A118" s="24" t="str">
        <f>IF(ROW()-4&lt;=COUNTA(Empleados!$A$2:$A$201),INDEX(Empleados!$A$2:$A$201,ROW()-4),"")</f>
        <v/>
      </c>
      <c r="B118" s="25" t="str">
        <f>IF($A118="","",INDEX(Empleados!$E$2:$E$201,MATCH($A118,Empleados!$A$2:$A$201,0)))</f>
        <v/>
      </c>
      <c r="C118" s="25" t="str">
        <f>IF($A118="","",INDEX(Empleados!$O$2:$O$201,MATCH($A118,Empleados!$A$2:$A$201,0)))</f>
        <v/>
      </c>
      <c r="D118" s="25" t="str">
        <f>IF($A118="","",INDEX(Empleados!$P$2:$P$201,MATCH($A118,Empleados!$A$2:$A$201,0)))</f>
        <v/>
      </c>
      <c r="E118" s="20" t="str">
        <f>IF($A118="","",IF($N118&lt;&gt;"ACTIVO",0,INDEX(Empleados!$M$2:$M$201,MATCH($A118,Empleados!$A$2:$A$201,0))))</f>
        <v/>
      </c>
      <c r="F118" s="20" t="str">
        <f>IF($A118="","",IF($N118&lt;&gt;"ACTIVO",0,INDEX(Empleados!$N$2:$N$201,MATCH($A118,Empleados!$A$2:$A$201,0))))</f>
        <v/>
      </c>
      <c r="G118" s="20" t="str">
        <f>IF($A118="","",IF($N118&lt;&gt;"ACTIVO",0,SUMIFS(Conceptos_Pago!$E$2:$E$100,Conceptos_Pago!$C$2:$C$100,"FIJO",Conceptos_Pago!$D$2:$D$100,"SI")))</f>
        <v/>
      </c>
      <c r="H118" s="20" t="str">
        <f>IF($A118="","",IF($N118&lt;&gt;"ACTIVO",0,SUMIFS(Movimientos!$F$2:$F$500,Movimientos!$A$2:$A$500,$B$2,Movimientos!$B$2:$B$500,$A118,Movimientos!$C$2:$C$500,"PAGO")))</f>
        <v/>
      </c>
      <c r="I118" s="20" t="str">
        <f t="shared" si="9"/>
        <v/>
      </c>
      <c r="J118" s="20" t="str">
        <f>IF($A118="","",IF($N118&lt;&gt;"ACTIVO",0,SUMIFS(Deducciones!$E$2:$E$100,Deducciones!$F$2:$F$100,"SI",Deducciones!$G$2:$G$100,"SI",Deducciones!$C$2:$C$100,"FIJO")+E118*SUMIFS(Deducciones!$E$2:$E$100,Deducciones!$F$2:$F$100,"SI",Deducciones!$G$2:$G$100,"SI",Deducciones!$C$2:$C$100,"PORCENTAJE",Deducciones!$D$2:$D$100,"SUELDO_BASE")+I118*SUMIFS(Deducciones!$E$2:$E$100,Deducciones!$F$2:$F$100,"SI",Deducciones!$G$2:$G$100,"SI",Deducciones!$C$2:$C$100,"PORCENTAJE",Deducciones!$D$2:$D$100,"TOTAL_PERCEPCIONES")))</f>
        <v/>
      </c>
      <c r="K118" s="20" t="str">
        <f>IF($A118="","",IF($N118&lt;&gt;"ACTIVO",0,SUMIFS(Movimientos!$F$2:$F$500,Movimientos!$A$2:$A$500,$B$2,Movimientos!$B$2:$B$500,$A118,Movimientos!$C$2:$C$500,"DEDUCCION")))</f>
        <v/>
      </c>
      <c r="L118" s="20" t="str">
        <f t="shared" si="10"/>
        <v/>
      </c>
      <c r="M118" s="20" t="str">
        <f t="shared" si="11"/>
        <v/>
      </c>
      <c r="N118" s="25" t="str">
        <f>IF($A118="","",INDEX(Empleados!$J$2:$J$201,MATCH($A118,Empleados!$A$2:$A$201,0)))</f>
        <v/>
      </c>
    </row>
    <row r="119" spans="1:14" x14ac:dyDescent="0.45">
      <c r="A119" s="24" t="str">
        <f>IF(ROW()-4&lt;=COUNTA(Empleados!$A$2:$A$201),INDEX(Empleados!$A$2:$A$201,ROW()-4),"")</f>
        <v/>
      </c>
      <c r="B119" s="25" t="str">
        <f>IF($A119="","",INDEX(Empleados!$E$2:$E$201,MATCH($A119,Empleados!$A$2:$A$201,0)))</f>
        <v/>
      </c>
      <c r="C119" s="25" t="str">
        <f>IF($A119="","",INDEX(Empleados!$O$2:$O$201,MATCH($A119,Empleados!$A$2:$A$201,0)))</f>
        <v/>
      </c>
      <c r="D119" s="25" t="str">
        <f>IF($A119="","",INDEX(Empleados!$P$2:$P$201,MATCH($A119,Empleados!$A$2:$A$201,0)))</f>
        <v/>
      </c>
      <c r="E119" s="20" t="str">
        <f>IF($A119="","",IF($N119&lt;&gt;"ACTIVO",0,INDEX(Empleados!$M$2:$M$201,MATCH($A119,Empleados!$A$2:$A$201,0))))</f>
        <v/>
      </c>
      <c r="F119" s="20" t="str">
        <f>IF($A119="","",IF($N119&lt;&gt;"ACTIVO",0,INDEX(Empleados!$N$2:$N$201,MATCH($A119,Empleados!$A$2:$A$201,0))))</f>
        <v/>
      </c>
      <c r="G119" s="20" t="str">
        <f>IF($A119="","",IF($N119&lt;&gt;"ACTIVO",0,SUMIFS(Conceptos_Pago!$E$2:$E$100,Conceptos_Pago!$C$2:$C$100,"FIJO",Conceptos_Pago!$D$2:$D$100,"SI")))</f>
        <v/>
      </c>
      <c r="H119" s="20" t="str">
        <f>IF($A119="","",IF($N119&lt;&gt;"ACTIVO",0,SUMIFS(Movimientos!$F$2:$F$500,Movimientos!$A$2:$A$500,$B$2,Movimientos!$B$2:$B$500,$A119,Movimientos!$C$2:$C$500,"PAGO")))</f>
        <v/>
      </c>
      <c r="I119" s="20" t="str">
        <f t="shared" si="9"/>
        <v/>
      </c>
      <c r="J119" s="20" t="str">
        <f>IF($A119="","",IF($N119&lt;&gt;"ACTIVO",0,SUMIFS(Deducciones!$E$2:$E$100,Deducciones!$F$2:$F$100,"SI",Deducciones!$G$2:$G$100,"SI",Deducciones!$C$2:$C$100,"FIJO")+E119*SUMIFS(Deducciones!$E$2:$E$100,Deducciones!$F$2:$F$100,"SI",Deducciones!$G$2:$G$100,"SI",Deducciones!$C$2:$C$100,"PORCENTAJE",Deducciones!$D$2:$D$100,"SUELDO_BASE")+I119*SUMIFS(Deducciones!$E$2:$E$100,Deducciones!$F$2:$F$100,"SI",Deducciones!$G$2:$G$100,"SI",Deducciones!$C$2:$C$100,"PORCENTAJE",Deducciones!$D$2:$D$100,"TOTAL_PERCEPCIONES")))</f>
        <v/>
      </c>
      <c r="K119" s="20" t="str">
        <f>IF($A119="","",IF($N119&lt;&gt;"ACTIVO",0,SUMIFS(Movimientos!$F$2:$F$500,Movimientos!$A$2:$A$500,$B$2,Movimientos!$B$2:$B$500,$A119,Movimientos!$C$2:$C$500,"DEDUCCION")))</f>
        <v/>
      </c>
      <c r="L119" s="20" t="str">
        <f t="shared" si="10"/>
        <v/>
      </c>
      <c r="M119" s="20" t="str">
        <f t="shared" si="11"/>
        <v/>
      </c>
      <c r="N119" s="25" t="str">
        <f>IF($A119="","",INDEX(Empleados!$J$2:$J$201,MATCH($A119,Empleados!$A$2:$A$201,0)))</f>
        <v/>
      </c>
    </row>
    <row r="120" spans="1:14" x14ac:dyDescent="0.45">
      <c r="A120" s="24" t="str">
        <f>IF(ROW()-4&lt;=COUNTA(Empleados!$A$2:$A$201),INDEX(Empleados!$A$2:$A$201,ROW()-4),"")</f>
        <v/>
      </c>
      <c r="B120" s="25" t="str">
        <f>IF($A120="","",INDEX(Empleados!$E$2:$E$201,MATCH($A120,Empleados!$A$2:$A$201,0)))</f>
        <v/>
      </c>
      <c r="C120" s="25" t="str">
        <f>IF($A120="","",INDEX(Empleados!$O$2:$O$201,MATCH($A120,Empleados!$A$2:$A$201,0)))</f>
        <v/>
      </c>
      <c r="D120" s="25" t="str">
        <f>IF($A120="","",INDEX(Empleados!$P$2:$P$201,MATCH($A120,Empleados!$A$2:$A$201,0)))</f>
        <v/>
      </c>
      <c r="E120" s="20" t="str">
        <f>IF($A120="","",IF($N120&lt;&gt;"ACTIVO",0,INDEX(Empleados!$M$2:$M$201,MATCH($A120,Empleados!$A$2:$A$201,0))))</f>
        <v/>
      </c>
      <c r="F120" s="20" t="str">
        <f>IF($A120="","",IF($N120&lt;&gt;"ACTIVO",0,INDEX(Empleados!$N$2:$N$201,MATCH($A120,Empleados!$A$2:$A$201,0))))</f>
        <v/>
      </c>
      <c r="G120" s="20" t="str">
        <f>IF($A120="","",IF($N120&lt;&gt;"ACTIVO",0,SUMIFS(Conceptos_Pago!$E$2:$E$100,Conceptos_Pago!$C$2:$C$100,"FIJO",Conceptos_Pago!$D$2:$D$100,"SI")))</f>
        <v/>
      </c>
      <c r="H120" s="20" t="str">
        <f>IF($A120="","",IF($N120&lt;&gt;"ACTIVO",0,SUMIFS(Movimientos!$F$2:$F$500,Movimientos!$A$2:$A$500,$B$2,Movimientos!$B$2:$B$500,$A120,Movimientos!$C$2:$C$500,"PAGO")))</f>
        <v/>
      </c>
      <c r="I120" s="20" t="str">
        <f t="shared" si="9"/>
        <v/>
      </c>
      <c r="J120" s="20" t="str">
        <f>IF($A120="","",IF($N120&lt;&gt;"ACTIVO",0,SUMIFS(Deducciones!$E$2:$E$100,Deducciones!$F$2:$F$100,"SI",Deducciones!$G$2:$G$100,"SI",Deducciones!$C$2:$C$100,"FIJO")+E120*SUMIFS(Deducciones!$E$2:$E$100,Deducciones!$F$2:$F$100,"SI",Deducciones!$G$2:$G$100,"SI",Deducciones!$C$2:$C$100,"PORCENTAJE",Deducciones!$D$2:$D$100,"SUELDO_BASE")+I120*SUMIFS(Deducciones!$E$2:$E$100,Deducciones!$F$2:$F$100,"SI",Deducciones!$G$2:$G$100,"SI",Deducciones!$C$2:$C$100,"PORCENTAJE",Deducciones!$D$2:$D$100,"TOTAL_PERCEPCIONES")))</f>
        <v/>
      </c>
      <c r="K120" s="20" t="str">
        <f>IF($A120="","",IF($N120&lt;&gt;"ACTIVO",0,SUMIFS(Movimientos!$F$2:$F$500,Movimientos!$A$2:$A$500,$B$2,Movimientos!$B$2:$B$500,$A120,Movimientos!$C$2:$C$500,"DEDUCCION")))</f>
        <v/>
      </c>
      <c r="L120" s="20" t="str">
        <f t="shared" si="10"/>
        <v/>
      </c>
      <c r="M120" s="20" t="str">
        <f t="shared" si="11"/>
        <v/>
      </c>
      <c r="N120" s="25" t="str">
        <f>IF($A120="","",INDEX(Empleados!$J$2:$J$201,MATCH($A120,Empleados!$A$2:$A$201,0)))</f>
        <v/>
      </c>
    </row>
    <row r="121" spans="1:14" x14ac:dyDescent="0.45">
      <c r="A121" s="24" t="str">
        <f>IF(ROW()-4&lt;=COUNTA(Empleados!$A$2:$A$201),INDEX(Empleados!$A$2:$A$201,ROW()-4),"")</f>
        <v/>
      </c>
      <c r="B121" s="25" t="str">
        <f>IF($A121="","",INDEX(Empleados!$E$2:$E$201,MATCH($A121,Empleados!$A$2:$A$201,0)))</f>
        <v/>
      </c>
      <c r="C121" s="25" t="str">
        <f>IF($A121="","",INDEX(Empleados!$O$2:$O$201,MATCH($A121,Empleados!$A$2:$A$201,0)))</f>
        <v/>
      </c>
      <c r="D121" s="25" t="str">
        <f>IF($A121="","",INDEX(Empleados!$P$2:$P$201,MATCH($A121,Empleados!$A$2:$A$201,0)))</f>
        <v/>
      </c>
      <c r="E121" s="20" t="str">
        <f>IF($A121="","",IF($N121&lt;&gt;"ACTIVO",0,INDEX(Empleados!$M$2:$M$201,MATCH($A121,Empleados!$A$2:$A$201,0))))</f>
        <v/>
      </c>
      <c r="F121" s="20" t="str">
        <f>IF($A121="","",IF($N121&lt;&gt;"ACTIVO",0,INDEX(Empleados!$N$2:$N$201,MATCH($A121,Empleados!$A$2:$A$201,0))))</f>
        <v/>
      </c>
      <c r="G121" s="20" t="str">
        <f>IF($A121="","",IF($N121&lt;&gt;"ACTIVO",0,SUMIFS(Conceptos_Pago!$E$2:$E$100,Conceptos_Pago!$C$2:$C$100,"FIJO",Conceptos_Pago!$D$2:$D$100,"SI")))</f>
        <v/>
      </c>
      <c r="H121" s="20" t="str">
        <f>IF($A121="","",IF($N121&lt;&gt;"ACTIVO",0,SUMIFS(Movimientos!$F$2:$F$500,Movimientos!$A$2:$A$500,$B$2,Movimientos!$B$2:$B$500,$A121,Movimientos!$C$2:$C$500,"PAGO")))</f>
        <v/>
      </c>
      <c r="I121" s="20" t="str">
        <f t="shared" si="9"/>
        <v/>
      </c>
      <c r="J121" s="20" t="str">
        <f>IF($A121="","",IF($N121&lt;&gt;"ACTIVO",0,SUMIFS(Deducciones!$E$2:$E$100,Deducciones!$F$2:$F$100,"SI",Deducciones!$G$2:$G$100,"SI",Deducciones!$C$2:$C$100,"FIJO")+E121*SUMIFS(Deducciones!$E$2:$E$100,Deducciones!$F$2:$F$100,"SI",Deducciones!$G$2:$G$100,"SI",Deducciones!$C$2:$C$100,"PORCENTAJE",Deducciones!$D$2:$D$100,"SUELDO_BASE")+I121*SUMIFS(Deducciones!$E$2:$E$100,Deducciones!$F$2:$F$100,"SI",Deducciones!$G$2:$G$100,"SI",Deducciones!$C$2:$C$100,"PORCENTAJE",Deducciones!$D$2:$D$100,"TOTAL_PERCEPCIONES")))</f>
        <v/>
      </c>
      <c r="K121" s="20" t="str">
        <f>IF($A121="","",IF($N121&lt;&gt;"ACTIVO",0,SUMIFS(Movimientos!$F$2:$F$500,Movimientos!$A$2:$A$500,$B$2,Movimientos!$B$2:$B$500,$A121,Movimientos!$C$2:$C$500,"DEDUCCION")))</f>
        <v/>
      </c>
      <c r="L121" s="20" t="str">
        <f t="shared" si="10"/>
        <v/>
      </c>
      <c r="M121" s="20" t="str">
        <f t="shared" si="11"/>
        <v/>
      </c>
      <c r="N121" s="25" t="str">
        <f>IF($A121="","",INDEX(Empleados!$J$2:$J$201,MATCH($A121,Empleados!$A$2:$A$201,0)))</f>
        <v/>
      </c>
    </row>
    <row r="122" spans="1:14" x14ac:dyDescent="0.45">
      <c r="A122" s="24" t="str">
        <f>IF(ROW()-4&lt;=COUNTA(Empleados!$A$2:$A$201),INDEX(Empleados!$A$2:$A$201,ROW()-4),"")</f>
        <v/>
      </c>
      <c r="B122" s="25" t="str">
        <f>IF($A122="","",INDEX(Empleados!$E$2:$E$201,MATCH($A122,Empleados!$A$2:$A$201,0)))</f>
        <v/>
      </c>
      <c r="C122" s="25" t="str">
        <f>IF($A122="","",INDEX(Empleados!$O$2:$O$201,MATCH($A122,Empleados!$A$2:$A$201,0)))</f>
        <v/>
      </c>
      <c r="D122" s="25" t="str">
        <f>IF($A122="","",INDEX(Empleados!$P$2:$P$201,MATCH($A122,Empleados!$A$2:$A$201,0)))</f>
        <v/>
      </c>
      <c r="E122" s="20" t="str">
        <f>IF($A122="","",IF($N122&lt;&gt;"ACTIVO",0,INDEX(Empleados!$M$2:$M$201,MATCH($A122,Empleados!$A$2:$A$201,0))))</f>
        <v/>
      </c>
      <c r="F122" s="20" t="str">
        <f>IF($A122="","",IF($N122&lt;&gt;"ACTIVO",0,INDEX(Empleados!$N$2:$N$201,MATCH($A122,Empleados!$A$2:$A$201,0))))</f>
        <v/>
      </c>
      <c r="G122" s="20" t="str">
        <f>IF($A122="","",IF($N122&lt;&gt;"ACTIVO",0,SUMIFS(Conceptos_Pago!$E$2:$E$100,Conceptos_Pago!$C$2:$C$100,"FIJO",Conceptos_Pago!$D$2:$D$100,"SI")))</f>
        <v/>
      </c>
      <c r="H122" s="20" t="str">
        <f>IF($A122="","",IF($N122&lt;&gt;"ACTIVO",0,SUMIFS(Movimientos!$F$2:$F$500,Movimientos!$A$2:$A$500,$B$2,Movimientos!$B$2:$B$500,$A122,Movimientos!$C$2:$C$500,"PAGO")))</f>
        <v/>
      </c>
      <c r="I122" s="20" t="str">
        <f t="shared" si="9"/>
        <v/>
      </c>
      <c r="J122" s="20" t="str">
        <f>IF($A122="","",IF($N122&lt;&gt;"ACTIVO",0,SUMIFS(Deducciones!$E$2:$E$100,Deducciones!$F$2:$F$100,"SI",Deducciones!$G$2:$G$100,"SI",Deducciones!$C$2:$C$100,"FIJO")+E122*SUMIFS(Deducciones!$E$2:$E$100,Deducciones!$F$2:$F$100,"SI",Deducciones!$G$2:$G$100,"SI",Deducciones!$C$2:$C$100,"PORCENTAJE",Deducciones!$D$2:$D$100,"SUELDO_BASE")+I122*SUMIFS(Deducciones!$E$2:$E$100,Deducciones!$F$2:$F$100,"SI",Deducciones!$G$2:$G$100,"SI",Deducciones!$C$2:$C$100,"PORCENTAJE",Deducciones!$D$2:$D$100,"TOTAL_PERCEPCIONES")))</f>
        <v/>
      </c>
      <c r="K122" s="20" t="str">
        <f>IF($A122="","",IF($N122&lt;&gt;"ACTIVO",0,SUMIFS(Movimientos!$F$2:$F$500,Movimientos!$A$2:$A$500,$B$2,Movimientos!$B$2:$B$500,$A122,Movimientos!$C$2:$C$500,"DEDUCCION")))</f>
        <v/>
      </c>
      <c r="L122" s="20" t="str">
        <f t="shared" si="10"/>
        <v/>
      </c>
      <c r="M122" s="20" t="str">
        <f t="shared" si="11"/>
        <v/>
      </c>
      <c r="N122" s="25" t="str">
        <f>IF($A122="","",INDEX(Empleados!$J$2:$J$201,MATCH($A122,Empleados!$A$2:$A$201,0)))</f>
        <v/>
      </c>
    </row>
    <row r="123" spans="1:14" x14ac:dyDescent="0.45">
      <c r="A123" s="24" t="str">
        <f>IF(ROW()-4&lt;=COUNTA(Empleados!$A$2:$A$201),INDEX(Empleados!$A$2:$A$201,ROW()-4),"")</f>
        <v/>
      </c>
      <c r="B123" s="25" t="str">
        <f>IF($A123="","",INDEX(Empleados!$E$2:$E$201,MATCH($A123,Empleados!$A$2:$A$201,0)))</f>
        <v/>
      </c>
      <c r="C123" s="25" t="str">
        <f>IF($A123="","",INDEX(Empleados!$O$2:$O$201,MATCH($A123,Empleados!$A$2:$A$201,0)))</f>
        <v/>
      </c>
      <c r="D123" s="25" t="str">
        <f>IF($A123="","",INDEX(Empleados!$P$2:$P$201,MATCH($A123,Empleados!$A$2:$A$201,0)))</f>
        <v/>
      </c>
      <c r="E123" s="20" t="str">
        <f>IF($A123="","",IF($N123&lt;&gt;"ACTIVO",0,INDEX(Empleados!$M$2:$M$201,MATCH($A123,Empleados!$A$2:$A$201,0))))</f>
        <v/>
      </c>
      <c r="F123" s="20" t="str">
        <f>IF($A123="","",IF($N123&lt;&gt;"ACTIVO",0,INDEX(Empleados!$N$2:$N$201,MATCH($A123,Empleados!$A$2:$A$201,0))))</f>
        <v/>
      </c>
      <c r="G123" s="20" t="str">
        <f>IF($A123="","",IF($N123&lt;&gt;"ACTIVO",0,SUMIFS(Conceptos_Pago!$E$2:$E$100,Conceptos_Pago!$C$2:$C$100,"FIJO",Conceptos_Pago!$D$2:$D$100,"SI")))</f>
        <v/>
      </c>
      <c r="H123" s="20" t="str">
        <f>IF($A123="","",IF($N123&lt;&gt;"ACTIVO",0,SUMIFS(Movimientos!$F$2:$F$500,Movimientos!$A$2:$A$500,$B$2,Movimientos!$B$2:$B$500,$A123,Movimientos!$C$2:$C$500,"PAGO")))</f>
        <v/>
      </c>
      <c r="I123" s="20" t="str">
        <f t="shared" si="9"/>
        <v/>
      </c>
      <c r="J123" s="20" t="str">
        <f>IF($A123="","",IF($N123&lt;&gt;"ACTIVO",0,SUMIFS(Deducciones!$E$2:$E$100,Deducciones!$F$2:$F$100,"SI",Deducciones!$G$2:$G$100,"SI",Deducciones!$C$2:$C$100,"FIJO")+E123*SUMIFS(Deducciones!$E$2:$E$100,Deducciones!$F$2:$F$100,"SI",Deducciones!$G$2:$G$100,"SI",Deducciones!$C$2:$C$100,"PORCENTAJE",Deducciones!$D$2:$D$100,"SUELDO_BASE")+I123*SUMIFS(Deducciones!$E$2:$E$100,Deducciones!$F$2:$F$100,"SI",Deducciones!$G$2:$G$100,"SI",Deducciones!$C$2:$C$100,"PORCENTAJE",Deducciones!$D$2:$D$100,"TOTAL_PERCEPCIONES")))</f>
        <v/>
      </c>
      <c r="K123" s="20" t="str">
        <f>IF($A123="","",IF($N123&lt;&gt;"ACTIVO",0,SUMIFS(Movimientos!$F$2:$F$500,Movimientos!$A$2:$A$500,$B$2,Movimientos!$B$2:$B$500,$A123,Movimientos!$C$2:$C$500,"DEDUCCION")))</f>
        <v/>
      </c>
      <c r="L123" s="20" t="str">
        <f t="shared" si="10"/>
        <v/>
      </c>
      <c r="M123" s="20" t="str">
        <f t="shared" si="11"/>
        <v/>
      </c>
      <c r="N123" s="25" t="str">
        <f>IF($A123="","",INDEX(Empleados!$J$2:$J$201,MATCH($A123,Empleados!$A$2:$A$201,0)))</f>
        <v/>
      </c>
    </row>
    <row r="124" spans="1:14" x14ac:dyDescent="0.45">
      <c r="A124" s="24" t="str">
        <f>IF(ROW()-4&lt;=COUNTA(Empleados!$A$2:$A$201),INDEX(Empleados!$A$2:$A$201,ROW()-4),"")</f>
        <v/>
      </c>
      <c r="B124" s="25" t="str">
        <f>IF($A124="","",INDEX(Empleados!$E$2:$E$201,MATCH($A124,Empleados!$A$2:$A$201,0)))</f>
        <v/>
      </c>
      <c r="C124" s="25" t="str">
        <f>IF($A124="","",INDEX(Empleados!$O$2:$O$201,MATCH($A124,Empleados!$A$2:$A$201,0)))</f>
        <v/>
      </c>
      <c r="D124" s="25" t="str">
        <f>IF($A124="","",INDEX(Empleados!$P$2:$P$201,MATCH($A124,Empleados!$A$2:$A$201,0)))</f>
        <v/>
      </c>
      <c r="E124" s="20" t="str">
        <f>IF($A124="","",IF($N124&lt;&gt;"ACTIVO",0,INDEX(Empleados!$M$2:$M$201,MATCH($A124,Empleados!$A$2:$A$201,0))))</f>
        <v/>
      </c>
      <c r="F124" s="20" t="str">
        <f>IF($A124="","",IF($N124&lt;&gt;"ACTIVO",0,INDEX(Empleados!$N$2:$N$201,MATCH($A124,Empleados!$A$2:$A$201,0))))</f>
        <v/>
      </c>
      <c r="G124" s="20" t="str">
        <f>IF($A124="","",IF($N124&lt;&gt;"ACTIVO",0,SUMIFS(Conceptos_Pago!$E$2:$E$100,Conceptos_Pago!$C$2:$C$100,"FIJO",Conceptos_Pago!$D$2:$D$100,"SI")))</f>
        <v/>
      </c>
      <c r="H124" s="20" t="str">
        <f>IF($A124="","",IF($N124&lt;&gt;"ACTIVO",0,SUMIFS(Movimientos!$F$2:$F$500,Movimientos!$A$2:$A$500,$B$2,Movimientos!$B$2:$B$500,$A124,Movimientos!$C$2:$C$500,"PAGO")))</f>
        <v/>
      </c>
      <c r="I124" s="20" t="str">
        <f t="shared" si="9"/>
        <v/>
      </c>
      <c r="J124" s="20" t="str">
        <f>IF($A124="","",IF($N124&lt;&gt;"ACTIVO",0,SUMIFS(Deducciones!$E$2:$E$100,Deducciones!$F$2:$F$100,"SI",Deducciones!$G$2:$G$100,"SI",Deducciones!$C$2:$C$100,"FIJO")+E124*SUMIFS(Deducciones!$E$2:$E$100,Deducciones!$F$2:$F$100,"SI",Deducciones!$G$2:$G$100,"SI",Deducciones!$C$2:$C$100,"PORCENTAJE",Deducciones!$D$2:$D$100,"SUELDO_BASE")+I124*SUMIFS(Deducciones!$E$2:$E$100,Deducciones!$F$2:$F$100,"SI",Deducciones!$G$2:$G$100,"SI",Deducciones!$C$2:$C$100,"PORCENTAJE",Deducciones!$D$2:$D$100,"TOTAL_PERCEPCIONES")))</f>
        <v/>
      </c>
      <c r="K124" s="20" t="str">
        <f>IF($A124="","",IF($N124&lt;&gt;"ACTIVO",0,SUMIFS(Movimientos!$F$2:$F$500,Movimientos!$A$2:$A$500,$B$2,Movimientos!$B$2:$B$500,$A124,Movimientos!$C$2:$C$500,"DEDUCCION")))</f>
        <v/>
      </c>
      <c r="L124" s="20" t="str">
        <f t="shared" si="10"/>
        <v/>
      </c>
      <c r="M124" s="20" t="str">
        <f t="shared" si="11"/>
        <v/>
      </c>
      <c r="N124" s="25" t="str">
        <f>IF($A124="","",INDEX(Empleados!$J$2:$J$201,MATCH($A124,Empleados!$A$2:$A$201,0)))</f>
        <v/>
      </c>
    </row>
    <row r="125" spans="1:14" x14ac:dyDescent="0.45">
      <c r="A125" s="24" t="str">
        <f>IF(ROW()-4&lt;=COUNTA(Empleados!$A$2:$A$201),INDEX(Empleados!$A$2:$A$201,ROW()-4),"")</f>
        <v/>
      </c>
      <c r="B125" s="25" t="str">
        <f>IF($A125="","",INDEX(Empleados!$E$2:$E$201,MATCH($A125,Empleados!$A$2:$A$201,0)))</f>
        <v/>
      </c>
      <c r="C125" s="25" t="str">
        <f>IF($A125="","",INDEX(Empleados!$O$2:$O$201,MATCH($A125,Empleados!$A$2:$A$201,0)))</f>
        <v/>
      </c>
      <c r="D125" s="25" t="str">
        <f>IF($A125="","",INDEX(Empleados!$P$2:$P$201,MATCH($A125,Empleados!$A$2:$A$201,0)))</f>
        <v/>
      </c>
      <c r="E125" s="20" t="str">
        <f>IF($A125="","",IF($N125&lt;&gt;"ACTIVO",0,INDEX(Empleados!$M$2:$M$201,MATCH($A125,Empleados!$A$2:$A$201,0))))</f>
        <v/>
      </c>
      <c r="F125" s="20" t="str">
        <f>IF($A125="","",IF($N125&lt;&gt;"ACTIVO",0,INDEX(Empleados!$N$2:$N$201,MATCH($A125,Empleados!$A$2:$A$201,0))))</f>
        <v/>
      </c>
      <c r="G125" s="20" t="str">
        <f>IF($A125="","",IF($N125&lt;&gt;"ACTIVO",0,SUMIFS(Conceptos_Pago!$E$2:$E$100,Conceptos_Pago!$C$2:$C$100,"FIJO",Conceptos_Pago!$D$2:$D$100,"SI")))</f>
        <v/>
      </c>
      <c r="H125" s="20" t="str">
        <f>IF($A125="","",IF($N125&lt;&gt;"ACTIVO",0,SUMIFS(Movimientos!$F$2:$F$500,Movimientos!$A$2:$A$500,$B$2,Movimientos!$B$2:$B$500,$A125,Movimientos!$C$2:$C$500,"PAGO")))</f>
        <v/>
      </c>
      <c r="I125" s="20" t="str">
        <f t="shared" si="9"/>
        <v/>
      </c>
      <c r="J125" s="20" t="str">
        <f>IF($A125="","",IF($N125&lt;&gt;"ACTIVO",0,SUMIFS(Deducciones!$E$2:$E$100,Deducciones!$F$2:$F$100,"SI",Deducciones!$G$2:$G$100,"SI",Deducciones!$C$2:$C$100,"FIJO")+E125*SUMIFS(Deducciones!$E$2:$E$100,Deducciones!$F$2:$F$100,"SI",Deducciones!$G$2:$G$100,"SI",Deducciones!$C$2:$C$100,"PORCENTAJE",Deducciones!$D$2:$D$100,"SUELDO_BASE")+I125*SUMIFS(Deducciones!$E$2:$E$100,Deducciones!$F$2:$F$100,"SI",Deducciones!$G$2:$G$100,"SI",Deducciones!$C$2:$C$100,"PORCENTAJE",Deducciones!$D$2:$D$100,"TOTAL_PERCEPCIONES")))</f>
        <v/>
      </c>
      <c r="K125" s="20" t="str">
        <f>IF($A125="","",IF($N125&lt;&gt;"ACTIVO",0,SUMIFS(Movimientos!$F$2:$F$500,Movimientos!$A$2:$A$500,$B$2,Movimientos!$B$2:$B$500,$A125,Movimientos!$C$2:$C$500,"DEDUCCION")))</f>
        <v/>
      </c>
      <c r="L125" s="20" t="str">
        <f t="shared" si="10"/>
        <v/>
      </c>
      <c r="M125" s="20" t="str">
        <f t="shared" si="11"/>
        <v/>
      </c>
      <c r="N125" s="25" t="str">
        <f>IF($A125="","",INDEX(Empleados!$J$2:$J$201,MATCH($A125,Empleados!$A$2:$A$201,0)))</f>
        <v/>
      </c>
    </row>
    <row r="126" spans="1:14" x14ac:dyDescent="0.45">
      <c r="A126" s="24" t="str">
        <f>IF(ROW()-4&lt;=COUNTA(Empleados!$A$2:$A$201),INDEX(Empleados!$A$2:$A$201,ROW()-4),"")</f>
        <v/>
      </c>
      <c r="B126" s="25" t="str">
        <f>IF($A126="","",INDEX(Empleados!$E$2:$E$201,MATCH($A126,Empleados!$A$2:$A$201,0)))</f>
        <v/>
      </c>
      <c r="C126" s="25" t="str">
        <f>IF($A126="","",INDEX(Empleados!$O$2:$O$201,MATCH($A126,Empleados!$A$2:$A$201,0)))</f>
        <v/>
      </c>
      <c r="D126" s="25" t="str">
        <f>IF($A126="","",INDEX(Empleados!$P$2:$P$201,MATCH($A126,Empleados!$A$2:$A$201,0)))</f>
        <v/>
      </c>
      <c r="E126" s="20" t="str">
        <f>IF($A126="","",IF($N126&lt;&gt;"ACTIVO",0,INDEX(Empleados!$M$2:$M$201,MATCH($A126,Empleados!$A$2:$A$201,0))))</f>
        <v/>
      </c>
      <c r="F126" s="20" t="str">
        <f>IF($A126="","",IF($N126&lt;&gt;"ACTIVO",0,INDEX(Empleados!$N$2:$N$201,MATCH($A126,Empleados!$A$2:$A$201,0))))</f>
        <v/>
      </c>
      <c r="G126" s="20" t="str">
        <f>IF($A126="","",IF($N126&lt;&gt;"ACTIVO",0,SUMIFS(Conceptos_Pago!$E$2:$E$100,Conceptos_Pago!$C$2:$C$100,"FIJO",Conceptos_Pago!$D$2:$D$100,"SI")))</f>
        <v/>
      </c>
      <c r="H126" s="20" t="str">
        <f>IF($A126="","",IF($N126&lt;&gt;"ACTIVO",0,SUMIFS(Movimientos!$F$2:$F$500,Movimientos!$A$2:$A$500,$B$2,Movimientos!$B$2:$B$500,$A126,Movimientos!$C$2:$C$500,"PAGO")))</f>
        <v/>
      </c>
      <c r="I126" s="20" t="str">
        <f t="shared" si="9"/>
        <v/>
      </c>
      <c r="J126" s="20" t="str">
        <f>IF($A126="","",IF($N126&lt;&gt;"ACTIVO",0,SUMIFS(Deducciones!$E$2:$E$100,Deducciones!$F$2:$F$100,"SI",Deducciones!$G$2:$G$100,"SI",Deducciones!$C$2:$C$100,"FIJO")+E126*SUMIFS(Deducciones!$E$2:$E$100,Deducciones!$F$2:$F$100,"SI",Deducciones!$G$2:$G$100,"SI",Deducciones!$C$2:$C$100,"PORCENTAJE",Deducciones!$D$2:$D$100,"SUELDO_BASE")+I126*SUMIFS(Deducciones!$E$2:$E$100,Deducciones!$F$2:$F$100,"SI",Deducciones!$G$2:$G$100,"SI",Deducciones!$C$2:$C$100,"PORCENTAJE",Deducciones!$D$2:$D$100,"TOTAL_PERCEPCIONES")))</f>
        <v/>
      </c>
      <c r="K126" s="20" t="str">
        <f>IF($A126="","",IF($N126&lt;&gt;"ACTIVO",0,SUMIFS(Movimientos!$F$2:$F$500,Movimientos!$A$2:$A$500,$B$2,Movimientos!$B$2:$B$500,$A126,Movimientos!$C$2:$C$500,"DEDUCCION")))</f>
        <v/>
      </c>
      <c r="L126" s="20" t="str">
        <f t="shared" si="10"/>
        <v/>
      </c>
      <c r="M126" s="20" t="str">
        <f t="shared" si="11"/>
        <v/>
      </c>
      <c r="N126" s="25" t="str">
        <f>IF($A126="","",INDEX(Empleados!$J$2:$J$201,MATCH($A126,Empleados!$A$2:$A$201,0)))</f>
        <v/>
      </c>
    </row>
    <row r="127" spans="1:14" x14ac:dyDescent="0.45">
      <c r="A127" s="24" t="str">
        <f>IF(ROW()-4&lt;=COUNTA(Empleados!$A$2:$A$201),INDEX(Empleados!$A$2:$A$201,ROW()-4),"")</f>
        <v/>
      </c>
      <c r="B127" s="25" t="str">
        <f>IF($A127="","",INDEX(Empleados!$E$2:$E$201,MATCH($A127,Empleados!$A$2:$A$201,0)))</f>
        <v/>
      </c>
      <c r="C127" s="25" t="str">
        <f>IF($A127="","",INDEX(Empleados!$O$2:$O$201,MATCH($A127,Empleados!$A$2:$A$201,0)))</f>
        <v/>
      </c>
      <c r="D127" s="25" t="str">
        <f>IF($A127="","",INDEX(Empleados!$P$2:$P$201,MATCH($A127,Empleados!$A$2:$A$201,0)))</f>
        <v/>
      </c>
      <c r="E127" s="20" t="str">
        <f>IF($A127="","",IF($N127&lt;&gt;"ACTIVO",0,INDEX(Empleados!$M$2:$M$201,MATCH($A127,Empleados!$A$2:$A$201,0))))</f>
        <v/>
      </c>
      <c r="F127" s="20" t="str">
        <f>IF($A127="","",IF($N127&lt;&gt;"ACTIVO",0,INDEX(Empleados!$N$2:$N$201,MATCH($A127,Empleados!$A$2:$A$201,0))))</f>
        <v/>
      </c>
      <c r="G127" s="20" t="str">
        <f>IF($A127="","",IF($N127&lt;&gt;"ACTIVO",0,SUMIFS(Conceptos_Pago!$E$2:$E$100,Conceptos_Pago!$C$2:$C$100,"FIJO",Conceptos_Pago!$D$2:$D$100,"SI")))</f>
        <v/>
      </c>
      <c r="H127" s="20" t="str">
        <f>IF($A127="","",IF($N127&lt;&gt;"ACTIVO",0,SUMIFS(Movimientos!$F$2:$F$500,Movimientos!$A$2:$A$500,$B$2,Movimientos!$B$2:$B$500,$A127,Movimientos!$C$2:$C$500,"PAGO")))</f>
        <v/>
      </c>
      <c r="I127" s="20" t="str">
        <f t="shared" si="9"/>
        <v/>
      </c>
      <c r="J127" s="20" t="str">
        <f>IF($A127="","",IF($N127&lt;&gt;"ACTIVO",0,SUMIFS(Deducciones!$E$2:$E$100,Deducciones!$F$2:$F$100,"SI",Deducciones!$G$2:$G$100,"SI",Deducciones!$C$2:$C$100,"FIJO")+E127*SUMIFS(Deducciones!$E$2:$E$100,Deducciones!$F$2:$F$100,"SI",Deducciones!$G$2:$G$100,"SI",Deducciones!$C$2:$C$100,"PORCENTAJE",Deducciones!$D$2:$D$100,"SUELDO_BASE")+I127*SUMIFS(Deducciones!$E$2:$E$100,Deducciones!$F$2:$F$100,"SI",Deducciones!$G$2:$G$100,"SI",Deducciones!$C$2:$C$100,"PORCENTAJE",Deducciones!$D$2:$D$100,"TOTAL_PERCEPCIONES")))</f>
        <v/>
      </c>
      <c r="K127" s="20" t="str">
        <f>IF($A127="","",IF($N127&lt;&gt;"ACTIVO",0,SUMIFS(Movimientos!$F$2:$F$500,Movimientos!$A$2:$A$500,$B$2,Movimientos!$B$2:$B$500,$A127,Movimientos!$C$2:$C$500,"DEDUCCION")))</f>
        <v/>
      </c>
      <c r="L127" s="20" t="str">
        <f t="shared" si="10"/>
        <v/>
      </c>
      <c r="M127" s="20" t="str">
        <f t="shared" si="11"/>
        <v/>
      </c>
      <c r="N127" s="25" t="str">
        <f>IF($A127="","",INDEX(Empleados!$J$2:$J$201,MATCH($A127,Empleados!$A$2:$A$201,0)))</f>
        <v/>
      </c>
    </row>
    <row r="128" spans="1:14" x14ac:dyDescent="0.45">
      <c r="A128" s="24" t="str">
        <f>IF(ROW()-4&lt;=COUNTA(Empleados!$A$2:$A$201),INDEX(Empleados!$A$2:$A$201,ROW()-4),"")</f>
        <v/>
      </c>
      <c r="B128" s="25" t="str">
        <f>IF($A128="","",INDEX(Empleados!$E$2:$E$201,MATCH($A128,Empleados!$A$2:$A$201,0)))</f>
        <v/>
      </c>
      <c r="C128" s="25" t="str">
        <f>IF($A128="","",INDEX(Empleados!$O$2:$O$201,MATCH($A128,Empleados!$A$2:$A$201,0)))</f>
        <v/>
      </c>
      <c r="D128" s="25" t="str">
        <f>IF($A128="","",INDEX(Empleados!$P$2:$P$201,MATCH($A128,Empleados!$A$2:$A$201,0)))</f>
        <v/>
      </c>
      <c r="E128" s="20" t="str">
        <f>IF($A128="","",IF($N128&lt;&gt;"ACTIVO",0,INDEX(Empleados!$M$2:$M$201,MATCH($A128,Empleados!$A$2:$A$201,0))))</f>
        <v/>
      </c>
      <c r="F128" s="20" t="str">
        <f>IF($A128="","",IF($N128&lt;&gt;"ACTIVO",0,INDEX(Empleados!$N$2:$N$201,MATCH($A128,Empleados!$A$2:$A$201,0))))</f>
        <v/>
      </c>
      <c r="G128" s="20" t="str">
        <f>IF($A128="","",IF($N128&lt;&gt;"ACTIVO",0,SUMIFS(Conceptos_Pago!$E$2:$E$100,Conceptos_Pago!$C$2:$C$100,"FIJO",Conceptos_Pago!$D$2:$D$100,"SI")))</f>
        <v/>
      </c>
      <c r="H128" s="20" t="str">
        <f>IF($A128="","",IF($N128&lt;&gt;"ACTIVO",0,SUMIFS(Movimientos!$F$2:$F$500,Movimientos!$A$2:$A$500,$B$2,Movimientos!$B$2:$B$500,$A128,Movimientos!$C$2:$C$500,"PAGO")))</f>
        <v/>
      </c>
      <c r="I128" s="20" t="str">
        <f t="shared" si="9"/>
        <v/>
      </c>
      <c r="J128" s="20" t="str">
        <f>IF($A128="","",IF($N128&lt;&gt;"ACTIVO",0,SUMIFS(Deducciones!$E$2:$E$100,Deducciones!$F$2:$F$100,"SI",Deducciones!$G$2:$G$100,"SI",Deducciones!$C$2:$C$100,"FIJO")+E128*SUMIFS(Deducciones!$E$2:$E$100,Deducciones!$F$2:$F$100,"SI",Deducciones!$G$2:$G$100,"SI",Deducciones!$C$2:$C$100,"PORCENTAJE",Deducciones!$D$2:$D$100,"SUELDO_BASE")+I128*SUMIFS(Deducciones!$E$2:$E$100,Deducciones!$F$2:$F$100,"SI",Deducciones!$G$2:$G$100,"SI",Deducciones!$C$2:$C$100,"PORCENTAJE",Deducciones!$D$2:$D$100,"TOTAL_PERCEPCIONES")))</f>
        <v/>
      </c>
      <c r="K128" s="20" t="str">
        <f>IF($A128="","",IF($N128&lt;&gt;"ACTIVO",0,SUMIFS(Movimientos!$F$2:$F$500,Movimientos!$A$2:$A$500,$B$2,Movimientos!$B$2:$B$500,$A128,Movimientos!$C$2:$C$500,"DEDUCCION")))</f>
        <v/>
      </c>
      <c r="L128" s="20" t="str">
        <f t="shared" si="10"/>
        <v/>
      </c>
      <c r="M128" s="20" t="str">
        <f t="shared" si="11"/>
        <v/>
      </c>
      <c r="N128" s="25" t="str">
        <f>IF($A128="","",INDEX(Empleados!$J$2:$J$201,MATCH($A128,Empleados!$A$2:$A$201,0)))</f>
        <v/>
      </c>
    </row>
    <row r="129" spans="1:14" x14ac:dyDescent="0.45">
      <c r="A129" s="24" t="str">
        <f>IF(ROW()-4&lt;=COUNTA(Empleados!$A$2:$A$201),INDEX(Empleados!$A$2:$A$201,ROW()-4),"")</f>
        <v/>
      </c>
      <c r="B129" s="25" t="str">
        <f>IF($A129="","",INDEX(Empleados!$E$2:$E$201,MATCH($A129,Empleados!$A$2:$A$201,0)))</f>
        <v/>
      </c>
      <c r="C129" s="25" t="str">
        <f>IF($A129="","",INDEX(Empleados!$O$2:$O$201,MATCH($A129,Empleados!$A$2:$A$201,0)))</f>
        <v/>
      </c>
      <c r="D129" s="25" t="str">
        <f>IF($A129="","",INDEX(Empleados!$P$2:$P$201,MATCH($A129,Empleados!$A$2:$A$201,0)))</f>
        <v/>
      </c>
      <c r="E129" s="20" t="str">
        <f>IF($A129="","",IF($N129&lt;&gt;"ACTIVO",0,INDEX(Empleados!$M$2:$M$201,MATCH($A129,Empleados!$A$2:$A$201,0))))</f>
        <v/>
      </c>
      <c r="F129" s="20" t="str">
        <f>IF($A129="","",IF($N129&lt;&gt;"ACTIVO",0,INDEX(Empleados!$N$2:$N$201,MATCH($A129,Empleados!$A$2:$A$201,0))))</f>
        <v/>
      </c>
      <c r="G129" s="20" t="str">
        <f>IF($A129="","",IF($N129&lt;&gt;"ACTIVO",0,SUMIFS(Conceptos_Pago!$E$2:$E$100,Conceptos_Pago!$C$2:$C$100,"FIJO",Conceptos_Pago!$D$2:$D$100,"SI")))</f>
        <v/>
      </c>
      <c r="H129" s="20" t="str">
        <f>IF($A129="","",IF($N129&lt;&gt;"ACTIVO",0,SUMIFS(Movimientos!$F$2:$F$500,Movimientos!$A$2:$A$500,$B$2,Movimientos!$B$2:$B$500,$A129,Movimientos!$C$2:$C$500,"PAGO")))</f>
        <v/>
      </c>
      <c r="I129" s="20" t="str">
        <f t="shared" si="9"/>
        <v/>
      </c>
      <c r="J129" s="20" t="str">
        <f>IF($A129="","",IF($N129&lt;&gt;"ACTIVO",0,SUMIFS(Deducciones!$E$2:$E$100,Deducciones!$F$2:$F$100,"SI",Deducciones!$G$2:$G$100,"SI",Deducciones!$C$2:$C$100,"FIJO")+E129*SUMIFS(Deducciones!$E$2:$E$100,Deducciones!$F$2:$F$100,"SI",Deducciones!$G$2:$G$100,"SI",Deducciones!$C$2:$C$100,"PORCENTAJE",Deducciones!$D$2:$D$100,"SUELDO_BASE")+I129*SUMIFS(Deducciones!$E$2:$E$100,Deducciones!$F$2:$F$100,"SI",Deducciones!$G$2:$G$100,"SI",Deducciones!$C$2:$C$100,"PORCENTAJE",Deducciones!$D$2:$D$100,"TOTAL_PERCEPCIONES")))</f>
        <v/>
      </c>
      <c r="K129" s="20" t="str">
        <f>IF($A129="","",IF($N129&lt;&gt;"ACTIVO",0,SUMIFS(Movimientos!$F$2:$F$500,Movimientos!$A$2:$A$500,$B$2,Movimientos!$B$2:$B$500,$A129,Movimientos!$C$2:$C$500,"DEDUCCION")))</f>
        <v/>
      </c>
      <c r="L129" s="20" t="str">
        <f t="shared" si="10"/>
        <v/>
      </c>
      <c r="M129" s="20" t="str">
        <f t="shared" si="11"/>
        <v/>
      </c>
      <c r="N129" s="25" t="str">
        <f>IF($A129="","",INDEX(Empleados!$J$2:$J$201,MATCH($A129,Empleados!$A$2:$A$201,0)))</f>
        <v/>
      </c>
    </row>
    <row r="130" spans="1:14" x14ac:dyDescent="0.45">
      <c r="A130" s="24" t="str">
        <f>IF(ROW()-4&lt;=COUNTA(Empleados!$A$2:$A$201),INDEX(Empleados!$A$2:$A$201,ROW()-4),"")</f>
        <v/>
      </c>
      <c r="B130" s="25" t="str">
        <f>IF($A130="","",INDEX(Empleados!$E$2:$E$201,MATCH($A130,Empleados!$A$2:$A$201,0)))</f>
        <v/>
      </c>
      <c r="C130" s="25" t="str">
        <f>IF($A130="","",INDEX(Empleados!$O$2:$O$201,MATCH($A130,Empleados!$A$2:$A$201,0)))</f>
        <v/>
      </c>
      <c r="D130" s="25" t="str">
        <f>IF($A130="","",INDEX(Empleados!$P$2:$P$201,MATCH($A130,Empleados!$A$2:$A$201,0)))</f>
        <v/>
      </c>
      <c r="E130" s="20" t="str">
        <f>IF($A130="","",IF($N130&lt;&gt;"ACTIVO",0,INDEX(Empleados!$M$2:$M$201,MATCH($A130,Empleados!$A$2:$A$201,0))))</f>
        <v/>
      </c>
      <c r="F130" s="20" t="str">
        <f>IF($A130="","",IF($N130&lt;&gt;"ACTIVO",0,INDEX(Empleados!$N$2:$N$201,MATCH($A130,Empleados!$A$2:$A$201,0))))</f>
        <v/>
      </c>
      <c r="G130" s="20" t="str">
        <f>IF($A130="","",IF($N130&lt;&gt;"ACTIVO",0,SUMIFS(Conceptos_Pago!$E$2:$E$100,Conceptos_Pago!$C$2:$C$100,"FIJO",Conceptos_Pago!$D$2:$D$100,"SI")))</f>
        <v/>
      </c>
      <c r="H130" s="20" t="str">
        <f>IF($A130="","",IF($N130&lt;&gt;"ACTIVO",0,SUMIFS(Movimientos!$F$2:$F$500,Movimientos!$A$2:$A$500,$B$2,Movimientos!$B$2:$B$500,$A130,Movimientos!$C$2:$C$500,"PAGO")))</f>
        <v/>
      </c>
      <c r="I130" s="20" t="str">
        <f t="shared" si="9"/>
        <v/>
      </c>
      <c r="J130" s="20" t="str">
        <f>IF($A130="","",IF($N130&lt;&gt;"ACTIVO",0,SUMIFS(Deducciones!$E$2:$E$100,Deducciones!$F$2:$F$100,"SI",Deducciones!$G$2:$G$100,"SI",Deducciones!$C$2:$C$100,"FIJO")+E130*SUMIFS(Deducciones!$E$2:$E$100,Deducciones!$F$2:$F$100,"SI",Deducciones!$G$2:$G$100,"SI",Deducciones!$C$2:$C$100,"PORCENTAJE",Deducciones!$D$2:$D$100,"SUELDO_BASE")+I130*SUMIFS(Deducciones!$E$2:$E$100,Deducciones!$F$2:$F$100,"SI",Deducciones!$G$2:$G$100,"SI",Deducciones!$C$2:$C$100,"PORCENTAJE",Deducciones!$D$2:$D$100,"TOTAL_PERCEPCIONES")))</f>
        <v/>
      </c>
      <c r="K130" s="20" t="str">
        <f>IF($A130="","",IF($N130&lt;&gt;"ACTIVO",0,SUMIFS(Movimientos!$F$2:$F$500,Movimientos!$A$2:$A$500,$B$2,Movimientos!$B$2:$B$500,$A130,Movimientos!$C$2:$C$500,"DEDUCCION")))</f>
        <v/>
      </c>
      <c r="L130" s="20" t="str">
        <f t="shared" si="10"/>
        <v/>
      </c>
      <c r="M130" s="20" t="str">
        <f t="shared" si="11"/>
        <v/>
      </c>
      <c r="N130" s="25" t="str">
        <f>IF($A130="","",INDEX(Empleados!$J$2:$J$201,MATCH($A130,Empleados!$A$2:$A$201,0)))</f>
        <v/>
      </c>
    </row>
    <row r="131" spans="1:14" x14ac:dyDescent="0.45">
      <c r="A131" s="24" t="str">
        <f>IF(ROW()-4&lt;=COUNTA(Empleados!$A$2:$A$201),INDEX(Empleados!$A$2:$A$201,ROW()-4),"")</f>
        <v/>
      </c>
      <c r="B131" s="25" t="str">
        <f>IF($A131="","",INDEX(Empleados!$E$2:$E$201,MATCH($A131,Empleados!$A$2:$A$201,0)))</f>
        <v/>
      </c>
      <c r="C131" s="25" t="str">
        <f>IF($A131="","",INDEX(Empleados!$O$2:$O$201,MATCH($A131,Empleados!$A$2:$A$201,0)))</f>
        <v/>
      </c>
      <c r="D131" s="25" t="str">
        <f>IF($A131="","",INDEX(Empleados!$P$2:$P$201,MATCH($A131,Empleados!$A$2:$A$201,0)))</f>
        <v/>
      </c>
      <c r="E131" s="20" t="str">
        <f>IF($A131="","",IF($N131&lt;&gt;"ACTIVO",0,INDEX(Empleados!$M$2:$M$201,MATCH($A131,Empleados!$A$2:$A$201,0))))</f>
        <v/>
      </c>
      <c r="F131" s="20" t="str">
        <f>IF($A131="","",IF($N131&lt;&gt;"ACTIVO",0,INDEX(Empleados!$N$2:$N$201,MATCH($A131,Empleados!$A$2:$A$201,0))))</f>
        <v/>
      </c>
      <c r="G131" s="20" t="str">
        <f>IF($A131="","",IF($N131&lt;&gt;"ACTIVO",0,SUMIFS(Conceptos_Pago!$E$2:$E$100,Conceptos_Pago!$C$2:$C$100,"FIJO",Conceptos_Pago!$D$2:$D$100,"SI")))</f>
        <v/>
      </c>
      <c r="H131" s="20" t="str">
        <f>IF($A131="","",IF($N131&lt;&gt;"ACTIVO",0,SUMIFS(Movimientos!$F$2:$F$500,Movimientos!$A$2:$A$500,$B$2,Movimientos!$B$2:$B$500,$A131,Movimientos!$C$2:$C$500,"PAGO")))</f>
        <v/>
      </c>
      <c r="I131" s="20" t="str">
        <f t="shared" si="9"/>
        <v/>
      </c>
      <c r="J131" s="20" t="str">
        <f>IF($A131="","",IF($N131&lt;&gt;"ACTIVO",0,SUMIFS(Deducciones!$E$2:$E$100,Deducciones!$F$2:$F$100,"SI",Deducciones!$G$2:$G$100,"SI",Deducciones!$C$2:$C$100,"FIJO")+E131*SUMIFS(Deducciones!$E$2:$E$100,Deducciones!$F$2:$F$100,"SI",Deducciones!$G$2:$G$100,"SI",Deducciones!$C$2:$C$100,"PORCENTAJE",Deducciones!$D$2:$D$100,"SUELDO_BASE")+I131*SUMIFS(Deducciones!$E$2:$E$100,Deducciones!$F$2:$F$100,"SI",Deducciones!$G$2:$G$100,"SI",Deducciones!$C$2:$C$100,"PORCENTAJE",Deducciones!$D$2:$D$100,"TOTAL_PERCEPCIONES")))</f>
        <v/>
      </c>
      <c r="K131" s="20" t="str">
        <f>IF($A131="","",IF($N131&lt;&gt;"ACTIVO",0,SUMIFS(Movimientos!$F$2:$F$500,Movimientos!$A$2:$A$500,$B$2,Movimientos!$B$2:$B$500,$A131,Movimientos!$C$2:$C$500,"DEDUCCION")))</f>
        <v/>
      </c>
      <c r="L131" s="20" t="str">
        <f t="shared" si="10"/>
        <v/>
      </c>
      <c r="M131" s="20" t="str">
        <f t="shared" si="11"/>
        <v/>
      </c>
      <c r="N131" s="25" t="str">
        <f>IF($A131="","",INDEX(Empleados!$J$2:$J$201,MATCH($A131,Empleados!$A$2:$A$201,0)))</f>
        <v/>
      </c>
    </row>
    <row r="132" spans="1:14" x14ac:dyDescent="0.45">
      <c r="A132" s="24" t="str">
        <f>IF(ROW()-4&lt;=COUNTA(Empleados!$A$2:$A$201),INDEX(Empleados!$A$2:$A$201,ROW()-4),"")</f>
        <v/>
      </c>
      <c r="B132" s="25" t="str">
        <f>IF($A132="","",INDEX(Empleados!$E$2:$E$201,MATCH($A132,Empleados!$A$2:$A$201,0)))</f>
        <v/>
      </c>
      <c r="C132" s="25" t="str">
        <f>IF($A132="","",INDEX(Empleados!$O$2:$O$201,MATCH($A132,Empleados!$A$2:$A$201,0)))</f>
        <v/>
      </c>
      <c r="D132" s="25" t="str">
        <f>IF($A132="","",INDEX(Empleados!$P$2:$P$201,MATCH($A132,Empleados!$A$2:$A$201,0)))</f>
        <v/>
      </c>
      <c r="E132" s="20" t="str">
        <f>IF($A132="","",IF($N132&lt;&gt;"ACTIVO",0,INDEX(Empleados!$M$2:$M$201,MATCH($A132,Empleados!$A$2:$A$201,0))))</f>
        <v/>
      </c>
      <c r="F132" s="20" t="str">
        <f>IF($A132="","",IF($N132&lt;&gt;"ACTIVO",0,INDEX(Empleados!$N$2:$N$201,MATCH($A132,Empleados!$A$2:$A$201,0))))</f>
        <v/>
      </c>
      <c r="G132" s="20" t="str">
        <f>IF($A132="","",IF($N132&lt;&gt;"ACTIVO",0,SUMIFS(Conceptos_Pago!$E$2:$E$100,Conceptos_Pago!$C$2:$C$100,"FIJO",Conceptos_Pago!$D$2:$D$100,"SI")))</f>
        <v/>
      </c>
      <c r="H132" s="20" t="str">
        <f>IF($A132="","",IF($N132&lt;&gt;"ACTIVO",0,SUMIFS(Movimientos!$F$2:$F$500,Movimientos!$A$2:$A$500,$B$2,Movimientos!$B$2:$B$500,$A132,Movimientos!$C$2:$C$500,"PAGO")))</f>
        <v/>
      </c>
      <c r="I132" s="20" t="str">
        <f t="shared" si="9"/>
        <v/>
      </c>
      <c r="J132" s="20" t="str">
        <f>IF($A132="","",IF($N132&lt;&gt;"ACTIVO",0,SUMIFS(Deducciones!$E$2:$E$100,Deducciones!$F$2:$F$100,"SI",Deducciones!$G$2:$G$100,"SI",Deducciones!$C$2:$C$100,"FIJO")+E132*SUMIFS(Deducciones!$E$2:$E$100,Deducciones!$F$2:$F$100,"SI",Deducciones!$G$2:$G$100,"SI",Deducciones!$C$2:$C$100,"PORCENTAJE",Deducciones!$D$2:$D$100,"SUELDO_BASE")+I132*SUMIFS(Deducciones!$E$2:$E$100,Deducciones!$F$2:$F$100,"SI",Deducciones!$G$2:$G$100,"SI",Deducciones!$C$2:$C$100,"PORCENTAJE",Deducciones!$D$2:$D$100,"TOTAL_PERCEPCIONES")))</f>
        <v/>
      </c>
      <c r="K132" s="20" t="str">
        <f>IF($A132="","",IF($N132&lt;&gt;"ACTIVO",0,SUMIFS(Movimientos!$F$2:$F$500,Movimientos!$A$2:$A$500,$B$2,Movimientos!$B$2:$B$500,$A132,Movimientos!$C$2:$C$500,"DEDUCCION")))</f>
        <v/>
      </c>
      <c r="L132" s="20" t="str">
        <f t="shared" si="10"/>
        <v/>
      </c>
      <c r="M132" s="20" t="str">
        <f t="shared" si="11"/>
        <v/>
      </c>
      <c r="N132" s="25" t="str">
        <f>IF($A132="","",INDEX(Empleados!$J$2:$J$201,MATCH($A132,Empleados!$A$2:$A$201,0)))</f>
        <v/>
      </c>
    </row>
    <row r="133" spans="1:14" x14ac:dyDescent="0.45">
      <c r="A133" s="24" t="str">
        <f>IF(ROW()-4&lt;=COUNTA(Empleados!$A$2:$A$201),INDEX(Empleados!$A$2:$A$201,ROW()-4),"")</f>
        <v/>
      </c>
      <c r="B133" s="25" t="str">
        <f>IF($A133="","",INDEX(Empleados!$E$2:$E$201,MATCH($A133,Empleados!$A$2:$A$201,0)))</f>
        <v/>
      </c>
      <c r="C133" s="25" t="str">
        <f>IF($A133="","",INDEX(Empleados!$O$2:$O$201,MATCH($A133,Empleados!$A$2:$A$201,0)))</f>
        <v/>
      </c>
      <c r="D133" s="25" t="str">
        <f>IF($A133="","",INDEX(Empleados!$P$2:$P$201,MATCH($A133,Empleados!$A$2:$A$201,0)))</f>
        <v/>
      </c>
      <c r="E133" s="20" t="str">
        <f>IF($A133="","",IF($N133&lt;&gt;"ACTIVO",0,INDEX(Empleados!$M$2:$M$201,MATCH($A133,Empleados!$A$2:$A$201,0))))</f>
        <v/>
      </c>
      <c r="F133" s="20" t="str">
        <f>IF($A133="","",IF($N133&lt;&gt;"ACTIVO",0,INDEX(Empleados!$N$2:$N$201,MATCH($A133,Empleados!$A$2:$A$201,0))))</f>
        <v/>
      </c>
      <c r="G133" s="20" t="str">
        <f>IF($A133="","",IF($N133&lt;&gt;"ACTIVO",0,SUMIFS(Conceptos_Pago!$E$2:$E$100,Conceptos_Pago!$C$2:$C$100,"FIJO",Conceptos_Pago!$D$2:$D$100,"SI")))</f>
        <v/>
      </c>
      <c r="H133" s="20" t="str">
        <f>IF($A133="","",IF($N133&lt;&gt;"ACTIVO",0,SUMIFS(Movimientos!$F$2:$F$500,Movimientos!$A$2:$A$500,$B$2,Movimientos!$B$2:$B$500,$A133,Movimientos!$C$2:$C$500,"PAGO")))</f>
        <v/>
      </c>
      <c r="I133" s="20" t="str">
        <f t="shared" ref="I133:I164" si="12">IF($A133="","",SUM(E133:H133))</f>
        <v/>
      </c>
      <c r="J133" s="20" t="str">
        <f>IF($A133="","",IF($N133&lt;&gt;"ACTIVO",0,SUMIFS(Deducciones!$E$2:$E$100,Deducciones!$F$2:$F$100,"SI",Deducciones!$G$2:$G$100,"SI",Deducciones!$C$2:$C$100,"FIJO")+E133*SUMIFS(Deducciones!$E$2:$E$100,Deducciones!$F$2:$F$100,"SI",Deducciones!$G$2:$G$100,"SI",Deducciones!$C$2:$C$100,"PORCENTAJE",Deducciones!$D$2:$D$100,"SUELDO_BASE")+I133*SUMIFS(Deducciones!$E$2:$E$100,Deducciones!$F$2:$F$100,"SI",Deducciones!$G$2:$G$100,"SI",Deducciones!$C$2:$C$100,"PORCENTAJE",Deducciones!$D$2:$D$100,"TOTAL_PERCEPCIONES")))</f>
        <v/>
      </c>
      <c r="K133" s="20" t="str">
        <f>IF($A133="","",IF($N133&lt;&gt;"ACTIVO",0,SUMIFS(Movimientos!$F$2:$F$500,Movimientos!$A$2:$A$500,$B$2,Movimientos!$B$2:$B$500,$A133,Movimientos!$C$2:$C$500,"DEDUCCION")))</f>
        <v/>
      </c>
      <c r="L133" s="20" t="str">
        <f t="shared" ref="L133:L164" si="13">IF($A133="","",SUM(J133:K133))</f>
        <v/>
      </c>
      <c r="M133" s="20" t="str">
        <f t="shared" ref="M133:M164" si="14">IF($A133="","",I133-L133)</f>
        <v/>
      </c>
      <c r="N133" s="25" t="str">
        <f>IF($A133="","",INDEX(Empleados!$J$2:$J$201,MATCH($A133,Empleados!$A$2:$A$201,0)))</f>
        <v/>
      </c>
    </row>
    <row r="134" spans="1:14" x14ac:dyDescent="0.45">
      <c r="A134" s="24" t="str">
        <f>IF(ROW()-4&lt;=COUNTA(Empleados!$A$2:$A$201),INDEX(Empleados!$A$2:$A$201,ROW()-4),"")</f>
        <v/>
      </c>
      <c r="B134" s="25" t="str">
        <f>IF($A134="","",INDEX(Empleados!$E$2:$E$201,MATCH($A134,Empleados!$A$2:$A$201,0)))</f>
        <v/>
      </c>
      <c r="C134" s="25" t="str">
        <f>IF($A134="","",INDEX(Empleados!$O$2:$O$201,MATCH($A134,Empleados!$A$2:$A$201,0)))</f>
        <v/>
      </c>
      <c r="D134" s="25" t="str">
        <f>IF($A134="","",INDEX(Empleados!$P$2:$P$201,MATCH($A134,Empleados!$A$2:$A$201,0)))</f>
        <v/>
      </c>
      <c r="E134" s="20" t="str">
        <f>IF($A134="","",IF($N134&lt;&gt;"ACTIVO",0,INDEX(Empleados!$M$2:$M$201,MATCH($A134,Empleados!$A$2:$A$201,0))))</f>
        <v/>
      </c>
      <c r="F134" s="20" t="str">
        <f>IF($A134="","",IF($N134&lt;&gt;"ACTIVO",0,INDEX(Empleados!$N$2:$N$201,MATCH($A134,Empleados!$A$2:$A$201,0))))</f>
        <v/>
      </c>
      <c r="G134" s="20" t="str">
        <f>IF($A134="","",IF($N134&lt;&gt;"ACTIVO",0,SUMIFS(Conceptos_Pago!$E$2:$E$100,Conceptos_Pago!$C$2:$C$100,"FIJO",Conceptos_Pago!$D$2:$D$100,"SI")))</f>
        <v/>
      </c>
      <c r="H134" s="20" t="str">
        <f>IF($A134="","",IF($N134&lt;&gt;"ACTIVO",0,SUMIFS(Movimientos!$F$2:$F$500,Movimientos!$A$2:$A$500,$B$2,Movimientos!$B$2:$B$500,$A134,Movimientos!$C$2:$C$500,"PAGO")))</f>
        <v/>
      </c>
      <c r="I134" s="20" t="str">
        <f t="shared" si="12"/>
        <v/>
      </c>
      <c r="J134" s="20" t="str">
        <f>IF($A134="","",IF($N134&lt;&gt;"ACTIVO",0,SUMIFS(Deducciones!$E$2:$E$100,Deducciones!$F$2:$F$100,"SI",Deducciones!$G$2:$G$100,"SI",Deducciones!$C$2:$C$100,"FIJO")+E134*SUMIFS(Deducciones!$E$2:$E$100,Deducciones!$F$2:$F$100,"SI",Deducciones!$G$2:$G$100,"SI",Deducciones!$C$2:$C$100,"PORCENTAJE",Deducciones!$D$2:$D$100,"SUELDO_BASE")+I134*SUMIFS(Deducciones!$E$2:$E$100,Deducciones!$F$2:$F$100,"SI",Deducciones!$G$2:$G$100,"SI",Deducciones!$C$2:$C$100,"PORCENTAJE",Deducciones!$D$2:$D$100,"TOTAL_PERCEPCIONES")))</f>
        <v/>
      </c>
      <c r="K134" s="20" t="str">
        <f>IF($A134="","",IF($N134&lt;&gt;"ACTIVO",0,SUMIFS(Movimientos!$F$2:$F$500,Movimientos!$A$2:$A$500,$B$2,Movimientos!$B$2:$B$500,$A134,Movimientos!$C$2:$C$500,"DEDUCCION")))</f>
        <v/>
      </c>
      <c r="L134" s="20" t="str">
        <f t="shared" si="13"/>
        <v/>
      </c>
      <c r="M134" s="20" t="str">
        <f t="shared" si="14"/>
        <v/>
      </c>
      <c r="N134" s="25" t="str">
        <f>IF($A134="","",INDEX(Empleados!$J$2:$J$201,MATCH($A134,Empleados!$A$2:$A$201,0)))</f>
        <v/>
      </c>
    </row>
    <row r="135" spans="1:14" x14ac:dyDescent="0.45">
      <c r="A135" s="24" t="str">
        <f>IF(ROW()-4&lt;=COUNTA(Empleados!$A$2:$A$201),INDEX(Empleados!$A$2:$A$201,ROW()-4),"")</f>
        <v/>
      </c>
      <c r="B135" s="25" t="str">
        <f>IF($A135="","",INDEX(Empleados!$E$2:$E$201,MATCH($A135,Empleados!$A$2:$A$201,0)))</f>
        <v/>
      </c>
      <c r="C135" s="25" t="str">
        <f>IF($A135="","",INDEX(Empleados!$O$2:$O$201,MATCH($A135,Empleados!$A$2:$A$201,0)))</f>
        <v/>
      </c>
      <c r="D135" s="25" t="str">
        <f>IF($A135="","",INDEX(Empleados!$P$2:$P$201,MATCH($A135,Empleados!$A$2:$A$201,0)))</f>
        <v/>
      </c>
      <c r="E135" s="20" t="str">
        <f>IF($A135="","",IF($N135&lt;&gt;"ACTIVO",0,INDEX(Empleados!$M$2:$M$201,MATCH($A135,Empleados!$A$2:$A$201,0))))</f>
        <v/>
      </c>
      <c r="F135" s="20" t="str">
        <f>IF($A135="","",IF($N135&lt;&gt;"ACTIVO",0,INDEX(Empleados!$N$2:$N$201,MATCH($A135,Empleados!$A$2:$A$201,0))))</f>
        <v/>
      </c>
      <c r="G135" s="20" t="str">
        <f>IF($A135="","",IF($N135&lt;&gt;"ACTIVO",0,SUMIFS(Conceptos_Pago!$E$2:$E$100,Conceptos_Pago!$C$2:$C$100,"FIJO",Conceptos_Pago!$D$2:$D$100,"SI")))</f>
        <v/>
      </c>
      <c r="H135" s="20" t="str">
        <f>IF($A135="","",IF($N135&lt;&gt;"ACTIVO",0,SUMIFS(Movimientos!$F$2:$F$500,Movimientos!$A$2:$A$500,$B$2,Movimientos!$B$2:$B$500,$A135,Movimientos!$C$2:$C$500,"PAGO")))</f>
        <v/>
      </c>
      <c r="I135" s="20" t="str">
        <f t="shared" si="12"/>
        <v/>
      </c>
      <c r="J135" s="20" t="str">
        <f>IF($A135="","",IF($N135&lt;&gt;"ACTIVO",0,SUMIFS(Deducciones!$E$2:$E$100,Deducciones!$F$2:$F$100,"SI",Deducciones!$G$2:$G$100,"SI",Deducciones!$C$2:$C$100,"FIJO")+E135*SUMIFS(Deducciones!$E$2:$E$100,Deducciones!$F$2:$F$100,"SI",Deducciones!$G$2:$G$100,"SI",Deducciones!$C$2:$C$100,"PORCENTAJE",Deducciones!$D$2:$D$100,"SUELDO_BASE")+I135*SUMIFS(Deducciones!$E$2:$E$100,Deducciones!$F$2:$F$100,"SI",Deducciones!$G$2:$G$100,"SI",Deducciones!$C$2:$C$100,"PORCENTAJE",Deducciones!$D$2:$D$100,"TOTAL_PERCEPCIONES")))</f>
        <v/>
      </c>
      <c r="K135" s="20" t="str">
        <f>IF($A135="","",IF($N135&lt;&gt;"ACTIVO",0,SUMIFS(Movimientos!$F$2:$F$500,Movimientos!$A$2:$A$500,$B$2,Movimientos!$B$2:$B$500,$A135,Movimientos!$C$2:$C$500,"DEDUCCION")))</f>
        <v/>
      </c>
      <c r="L135" s="20" t="str">
        <f t="shared" si="13"/>
        <v/>
      </c>
      <c r="M135" s="20" t="str">
        <f t="shared" si="14"/>
        <v/>
      </c>
      <c r="N135" s="25" t="str">
        <f>IF($A135="","",INDEX(Empleados!$J$2:$J$201,MATCH($A135,Empleados!$A$2:$A$201,0)))</f>
        <v/>
      </c>
    </row>
    <row r="136" spans="1:14" x14ac:dyDescent="0.45">
      <c r="A136" s="24" t="str">
        <f>IF(ROW()-4&lt;=COUNTA(Empleados!$A$2:$A$201),INDEX(Empleados!$A$2:$A$201,ROW()-4),"")</f>
        <v/>
      </c>
      <c r="B136" s="25" t="str">
        <f>IF($A136="","",INDEX(Empleados!$E$2:$E$201,MATCH($A136,Empleados!$A$2:$A$201,0)))</f>
        <v/>
      </c>
      <c r="C136" s="25" t="str">
        <f>IF($A136="","",INDEX(Empleados!$O$2:$O$201,MATCH($A136,Empleados!$A$2:$A$201,0)))</f>
        <v/>
      </c>
      <c r="D136" s="25" t="str">
        <f>IF($A136="","",INDEX(Empleados!$P$2:$P$201,MATCH($A136,Empleados!$A$2:$A$201,0)))</f>
        <v/>
      </c>
      <c r="E136" s="20" t="str">
        <f>IF($A136="","",IF($N136&lt;&gt;"ACTIVO",0,INDEX(Empleados!$M$2:$M$201,MATCH($A136,Empleados!$A$2:$A$201,0))))</f>
        <v/>
      </c>
      <c r="F136" s="20" t="str">
        <f>IF($A136="","",IF($N136&lt;&gt;"ACTIVO",0,INDEX(Empleados!$N$2:$N$201,MATCH($A136,Empleados!$A$2:$A$201,0))))</f>
        <v/>
      </c>
      <c r="G136" s="20" t="str">
        <f>IF($A136="","",IF($N136&lt;&gt;"ACTIVO",0,SUMIFS(Conceptos_Pago!$E$2:$E$100,Conceptos_Pago!$C$2:$C$100,"FIJO",Conceptos_Pago!$D$2:$D$100,"SI")))</f>
        <v/>
      </c>
      <c r="H136" s="20" t="str">
        <f>IF($A136="","",IF($N136&lt;&gt;"ACTIVO",0,SUMIFS(Movimientos!$F$2:$F$500,Movimientos!$A$2:$A$500,$B$2,Movimientos!$B$2:$B$500,$A136,Movimientos!$C$2:$C$500,"PAGO")))</f>
        <v/>
      </c>
      <c r="I136" s="20" t="str">
        <f t="shared" si="12"/>
        <v/>
      </c>
      <c r="J136" s="20" t="str">
        <f>IF($A136="","",IF($N136&lt;&gt;"ACTIVO",0,SUMIFS(Deducciones!$E$2:$E$100,Deducciones!$F$2:$F$100,"SI",Deducciones!$G$2:$G$100,"SI",Deducciones!$C$2:$C$100,"FIJO")+E136*SUMIFS(Deducciones!$E$2:$E$100,Deducciones!$F$2:$F$100,"SI",Deducciones!$G$2:$G$100,"SI",Deducciones!$C$2:$C$100,"PORCENTAJE",Deducciones!$D$2:$D$100,"SUELDO_BASE")+I136*SUMIFS(Deducciones!$E$2:$E$100,Deducciones!$F$2:$F$100,"SI",Deducciones!$G$2:$G$100,"SI",Deducciones!$C$2:$C$100,"PORCENTAJE",Deducciones!$D$2:$D$100,"TOTAL_PERCEPCIONES")))</f>
        <v/>
      </c>
      <c r="K136" s="20" t="str">
        <f>IF($A136="","",IF($N136&lt;&gt;"ACTIVO",0,SUMIFS(Movimientos!$F$2:$F$500,Movimientos!$A$2:$A$500,$B$2,Movimientos!$B$2:$B$500,$A136,Movimientos!$C$2:$C$500,"DEDUCCION")))</f>
        <v/>
      </c>
      <c r="L136" s="20" t="str">
        <f t="shared" si="13"/>
        <v/>
      </c>
      <c r="M136" s="20" t="str">
        <f t="shared" si="14"/>
        <v/>
      </c>
      <c r="N136" s="25" t="str">
        <f>IF($A136="","",INDEX(Empleados!$J$2:$J$201,MATCH($A136,Empleados!$A$2:$A$201,0)))</f>
        <v/>
      </c>
    </row>
    <row r="137" spans="1:14" x14ac:dyDescent="0.45">
      <c r="A137" s="24" t="str">
        <f>IF(ROW()-4&lt;=COUNTA(Empleados!$A$2:$A$201),INDEX(Empleados!$A$2:$A$201,ROW()-4),"")</f>
        <v/>
      </c>
      <c r="B137" s="25" t="str">
        <f>IF($A137="","",INDEX(Empleados!$E$2:$E$201,MATCH($A137,Empleados!$A$2:$A$201,0)))</f>
        <v/>
      </c>
      <c r="C137" s="25" t="str">
        <f>IF($A137="","",INDEX(Empleados!$O$2:$O$201,MATCH($A137,Empleados!$A$2:$A$201,0)))</f>
        <v/>
      </c>
      <c r="D137" s="25" t="str">
        <f>IF($A137="","",INDEX(Empleados!$P$2:$P$201,MATCH($A137,Empleados!$A$2:$A$201,0)))</f>
        <v/>
      </c>
      <c r="E137" s="20" t="str">
        <f>IF($A137="","",IF($N137&lt;&gt;"ACTIVO",0,INDEX(Empleados!$M$2:$M$201,MATCH($A137,Empleados!$A$2:$A$201,0))))</f>
        <v/>
      </c>
      <c r="F137" s="20" t="str">
        <f>IF($A137="","",IF($N137&lt;&gt;"ACTIVO",0,INDEX(Empleados!$N$2:$N$201,MATCH($A137,Empleados!$A$2:$A$201,0))))</f>
        <v/>
      </c>
      <c r="G137" s="20" t="str">
        <f>IF($A137="","",IF($N137&lt;&gt;"ACTIVO",0,SUMIFS(Conceptos_Pago!$E$2:$E$100,Conceptos_Pago!$C$2:$C$100,"FIJO",Conceptos_Pago!$D$2:$D$100,"SI")))</f>
        <v/>
      </c>
      <c r="H137" s="20" t="str">
        <f>IF($A137="","",IF($N137&lt;&gt;"ACTIVO",0,SUMIFS(Movimientos!$F$2:$F$500,Movimientos!$A$2:$A$500,$B$2,Movimientos!$B$2:$B$500,$A137,Movimientos!$C$2:$C$500,"PAGO")))</f>
        <v/>
      </c>
      <c r="I137" s="20" t="str">
        <f t="shared" si="12"/>
        <v/>
      </c>
      <c r="J137" s="20" t="str">
        <f>IF($A137="","",IF($N137&lt;&gt;"ACTIVO",0,SUMIFS(Deducciones!$E$2:$E$100,Deducciones!$F$2:$F$100,"SI",Deducciones!$G$2:$G$100,"SI",Deducciones!$C$2:$C$100,"FIJO")+E137*SUMIFS(Deducciones!$E$2:$E$100,Deducciones!$F$2:$F$100,"SI",Deducciones!$G$2:$G$100,"SI",Deducciones!$C$2:$C$100,"PORCENTAJE",Deducciones!$D$2:$D$100,"SUELDO_BASE")+I137*SUMIFS(Deducciones!$E$2:$E$100,Deducciones!$F$2:$F$100,"SI",Deducciones!$G$2:$G$100,"SI",Deducciones!$C$2:$C$100,"PORCENTAJE",Deducciones!$D$2:$D$100,"TOTAL_PERCEPCIONES")))</f>
        <v/>
      </c>
      <c r="K137" s="20" t="str">
        <f>IF($A137="","",IF($N137&lt;&gt;"ACTIVO",0,SUMIFS(Movimientos!$F$2:$F$500,Movimientos!$A$2:$A$500,$B$2,Movimientos!$B$2:$B$500,$A137,Movimientos!$C$2:$C$500,"DEDUCCION")))</f>
        <v/>
      </c>
      <c r="L137" s="20" t="str">
        <f t="shared" si="13"/>
        <v/>
      </c>
      <c r="M137" s="20" t="str">
        <f t="shared" si="14"/>
        <v/>
      </c>
      <c r="N137" s="25" t="str">
        <f>IF($A137="","",INDEX(Empleados!$J$2:$J$201,MATCH($A137,Empleados!$A$2:$A$201,0)))</f>
        <v/>
      </c>
    </row>
    <row r="138" spans="1:14" x14ac:dyDescent="0.45">
      <c r="A138" s="24" t="str">
        <f>IF(ROW()-4&lt;=COUNTA(Empleados!$A$2:$A$201),INDEX(Empleados!$A$2:$A$201,ROW()-4),"")</f>
        <v/>
      </c>
      <c r="B138" s="25" t="str">
        <f>IF($A138="","",INDEX(Empleados!$E$2:$E$201,MATCH($A138,Empleados!$A$2:$A$201,0)))</f>
        <v/>
      </c>
      <c r="C138" s="25" t="str">
        <f>IF($A138="","",INDEX(Empleados!$O$2:$O$201,MATCH($A138,Empleados!$A$2:$A$201,0)))</f>
        <v/>
      </c>
      <c r="D138" s="25" t="str">
        <f>IF($A138="","",INDEX(Empleados!$P$2:$P$201,MATCH($A138,Empleados!$A$2:$A$201,0)))</f>
        <v/>
      </c>
      <c r="E138" s="20" t="str">
        <f>IF($A138="","",IF($N138&lt;&gt;"ACTIVO",0,INDEX(Empleados!$M$2:$M$201,MATCH($A138,Empleados!$A$2:$A$201,0))))</f>
        <v/>
      </c>
      <c r="F138" s="20" t="str">
        <f>IF($A138="","",IF($N138&lt;&gt;"ACTIVO",0,INDEX(Empleados!$N$2:$N$201,MATCH($A138,Empleados!$A$2:$A$201,0))))</f>
        <v/>
      </c>
      <c r="G138" s="20" t="str">
        <f>IF($A138="","",IF($N138&lt;&gt;"ACTIVO",0,SUMIFS(Conceptos_Pago!$E$2:$E$100,Conceptos_Pago!$C$2:$C$100,"FIJO",Conceptos_Pago!$D$2:$D$100,"SI")))</f>
        <v/>
      </c>
      <c r="H138" s="20" t="str">
        <f>IF($A138="","",IF($N138&lt;&gt;"ACTIVO",0,SUMIFS(Movimientos!$F$2:$F$500,Movimientos!$A$2:$A$500,$B$2,Movimientos!$B$2:$B$500,$A138,Movimientos!$C$2:$C$500,"PAGO")))</f>
        <v/>
      </c>
      <c r="I138" s="20" t="str">
        <f t="shared" si="12"/>
        <v/>
      </c>
      <c r="J138" s="20" t="str">
        <f>IF($A138="","",IF($N138&lt;&gt;"ACTIVO",0,SUMIFS(Deducciones!$E$2:$E$100,Deducciones!$F$2:$F$100,"SI",Deducciones!$G$2:$G$100,"SI",Deducciones!$C$2:$C$100,"FIJO")+E138*SUMIFS(Deducciones!$E$2:$E$100,Deducciones!$F$2:$F$100,"SI",Deducciones!$G$2:$G$100,"SI",Deducciones!$C$2:$C$100,"PORCENTAJE",Deducciones!$D$2:$D$100,"SUELDO_BASE")+I138*SUMIFS(Deducciones!$E$2:$E$100,Deducciones!$F$2:$F$100,"SI",Deducciones!$G$2:$G$100,"SI",Deducciones!$C$2:$C$100,"PORCENTAJE",Deducciones!$D$2:$D$100,"TOTAL_PERCEPCIONES")))</f>
        <v/>
      </c>
      <c r="K138" s="20" t="str">
        <f>IF($A138="","",IF($N138&lt;&gt;"ACTIVO",0,SUMIFS(Movimientos!$F$2:$F$500,Movimientos!$A$2:$A$500,$B$2,Movimientos!$B$2:$B$500,$A138,Movimientos!$C$2:$C$500,"DEDUCCION")))</f>
        <v/>
      </c>
      <c r="L138" s="20" t="str">
        <f t="shared" si="13"/>
        <v/>
      </c>
      <c r="M138" s="20" t="str">
        <f t="shared" si="14"/>
        <v/>
      </c>
      <c r="N138" s="25" t="str">
        <f>IF($A138="","",INDEX(Empleados!$J$2:$J$201,MATCH($A138,Empleados!$A$2:$A$201,0)))</f>
        <v/>
      </c>
    </row>
    <row r="139" spans="1:14" x14ac:dyDescent="0.45">
      <c r="A139" s="24" t="str">
        <f>IF(ROW()-4&lt;=COUNTA(Empleados!$A$2:$A$201),INDEX(Empleados!$A$2:$A$201,ROW()-4),"")</f>
        <v/>
      </c>
      <c r="B139" s="25" t="str">
        <f>IF($A139="","",INDEX(Empleados!$E$2:$E$201,MATCH($A139,Empleados!$A$2:$A$201,0)))</f>
        <v/>
      </c>
      <c r="C139" s="25" t="str">
        <f>IF($A139="","",INDEX(Empleados!$O$2:$O$201,MATCH($A139,Empleados!$A$2:$A$201,0)))</f>
        <v/>
      </c>
      <c r="D139" s="25" t="str">
        <f>IF($A139="","",INDEX(Empleados!$P$2:$P$201,MATCH($A139,Empleados!$A$2:$A$201,0)))</f>
        <v/>
      </c>
      <c r="E139" s="20" t="str">
        <f>IF($A139="","",IF($N139&lt;&gt;"ACTIVO",0,INDEX(Empleados!$M$2:$M$201,MATCH($A139,Empleados!$A$2:$A$201,0))))</f>
        <v/>
      </c>
      <c r="F139" s="20" t="str">
        <f>IF($A139="","",IF($N139&lt;&gt;"ACTIVO",0,INDEX(Empleados!$N$2:$N$201,MATCH($A139,Empleados!$A$2:$A$201,0))))</f>
        <v/>
      </c>
      <c r="G139" s="20" t="str">
        <f>IF($A139="","",IF($N139&lt;&gt;"ACTIVO",0,SUMIFS(Conceptos_Pago!$E$2:$E$100,Conceptos_Pago!$C$2:$C$100,"FIJO",Conceptos_Pago!$D$2:$D$100,"SI")))</f>
        <v/>
      </c>
      <c r="H139" s="20" t="str">
        <f>IF($A139="","",IF($N139&lt;&gt;"ACTIVO",0,SUMIFS(Movimientos!$F$2:$F$500,Movimientos!$A$2:$A$500,$B$2,Movimientos!$B$2:$B$500,$A139,Movimientos!$C$2:$C$500,"PAGO")))</f>
        <v/>
      </c>
      <c r="I139" s="20" t="str">
        <f t="shared" si="12"/>
        <v/>
      </c>
      <c r="J139" s="20" t="str">
        <f>IF($A139="","",IF($N139&lt;&gt;"ACTIVO",0,SUMIFS(Deducciones!$E$2:$E$100,Deducciones!$F$2:$F$100,"SI",Deducciones!$G$2:$G$100,"SI",Deducciones!$C$2:$C$100,"FIJO")+E139*SUMIFS(Deducciones!$E$2:$E$100,Deducciones!$F$2:$F$100,"SI",Deducciones!$G$2:$G$100,"SI",Deducciones!$C$2:$C$100,"PORCENTAJE",Deducciones!$D$2:$D$100,"SUELDO_BASE")+I139*SUMIFS(Deducciones!$E$2:$E$100,Deducciones!$F$2:$F$100,"SI",Deducciones!$G$2:$G$100,"SI",Deducciones!$C$2:$C$100,"PORCENTAJE",Deducciones!$D$2:$D$100,"TOTAL_PERCEPCIONES")))</f>
        <v/>
      </c>
      <c r="K139" s="20" t="str">
        <f>IF($A139="","",IF($N139&lt;&gt;"ACTIVO",0,SUMIFS(Movimientos!$F$2:$F$500,Movimientos!$A$2:$A$500,$B$2,Movimientos!$B$2:$B$500,$A139,Movimientos!$C$2:$C$500,"DEDUCCION")))</f>
        <v/>
      </c>
      <c r="L139" s="20" t="str">
        <f t="shared" si="13"/>
        <v/>
      </c>
      <c r="M139" s="20" t="str">
        <f t="shared" si="14"/>
        <v/>
      </c>
      <c r="N139" s="25" t="str">
        <f>IF($A139="","",INDEX(Empleados!$J$2:$J$201,MATCH($A139,Empleados!$A$2:$A$201,0)))</f>
        <v/>
      </c>
    </row>
    <row r="140" spans="1:14" x14ac:dyDescent="0.45">
      <c r="A140" s="24" t="str">
        <f>IF(ROW()-4&lt;=COUNTA(Empleados!$A$2:$A$201),INDEX(Empleados!$A$2:$A$201,ROW()-4),"")</f>
        <v/>
      </c>
      <c r="B140" s="25" t="str">
        <f>IF($A140="","",INDEX(Empleados!$E$2:$E$201,MATCH($A140,Empleados!$A$2:$A$201,0)))</f>
        <v/>
      </c>
      <c r="C140" s="25" t="str">
        <f>IF($A140="","",INDEX(Empleados!$O$2:$O$201,MATCH($A140,Empleados!$A$2:$A$201,0)))</f>
        <v/>
      </c>
      <c r="D140" s="25" t="str">
        <f>IF($A140="","",INDEX(Empleados!$P$2:$P$201,MATCH($A140,Empleados!$A$2:$A$201,0)))</f>
        <v/>
      </c>
      <c r="E140" s="20" t="str">
        <f>IF($A140="","",IF($N140&lt;&gt;"ACTIVO",0,INDEX(Empleados!$M$2:$M$201,MATCH($A140,Empleados!$A$2:$A$201,0))))</f>
        <v/>
      </c>
      <c r="F140" s="20" t="str">
        <f>IF($A140="","",IF($N140&lt;&gt;"ACTIVO",0,INDEX(Empleados!$N$2:$N$201,MATCH($A140,Empleados!$A$2:$A$201,0))))</f>
        <v/>
      </c>
      <c r="G140" s="20" t="str">
        <f>IF($A140="","",IF($N140&lt;&gt;"ACTIVO",0,SUMIFS(Conceptos_Pago!$E$2:$E$100,Conceptos_Pago!$C$2:$C$100,"FIJO",Conceptos_Pago!$D$2:$D$100,"SI")))</f>
        <v/>
      </c>
      <c r="H140" s="20" t="str">
        <f>IF($A140="","",IF($N140&lt;&gt;"ACTIVO",0,SUMIFS(Movimientos!$F$2:$F$500,Movimientos!$A$2:$A$500,$B$2,Movimientos!$B$2:$B$500,$A140,Movimientos!$C$2:$C$500,"PAGO")))</f>
        <v/>
      </c>
      <c r="I140" s="20" t="str">
        <f t="shared" si="12"/>
        <v/>
      </c>
      <c r="J140" s="20" t="str">
        <f>IF($A140="","",IF($N140&lt;&gt;"ACTIVO",0,SUMIFS(Deducciones!$E$2:$E$100,Deducciones!$F$2:$F$100,"SI",Deducciones!$G$2:$G$100,"SI",Deducciones!$C$2:$C$100,"FIJO")+E140*SUMIFS(Deducciones!$E$2:$E$100,Deducciones!$F$2:$F$100,"SI",Deducciones!$G$2:$G$100,"SI",Deducciones!$C$2:$C$100,"PORCENTAJE",Deducciones!$D$2:$D$100,"SUELDO_BASE")+I140*SUMIFS(Deducciones!$E$2:$E$100,Deducciones!$F$2:$F$100,"SI",Deducciones!$G$2:$G$100,"SI",Deducciones!$C$2:$C$100,"PORCENTAJE",Deducciones!$D$2:$D$100,"TOTAL_PERCEPCIONES")))</f>
        <v/>
      </c>
      <c r="K140" s="20" t="str">
        <f>IF($A140="","",IF($N140&lt;&gt;"ACTIVO",0,SUMIFS(Movimientos!$F$2:$F$500,Movimientos!$A$2:$A$500,$B$2,Movimientos!$B$2:$B$500,$A140,Movimientos!$C$2:$C$500,"DEDUCCION")))</f>
        <v/>
      </c>
      <c r="L140" s="20" t="str">
        <f t="shared" si="13"/>
        <v/>
      </c>
      <c r="M140" s="20" t="str">
        <f t="shared" si="14"/>
        <v/>
      </c>
      <c r="N140" s="25" t="str">
        <f>IF($A140="","",INDEX(Empleados!$J$2:$J$201,MATCH($A140,Empleados!$A$2:$A$201,0)))</f>
        <v/>
      </c>
    </row>
    <row r="141" spans="1:14" x14ac:dyDescent="0.45">
      <c r="A141" s="24" t="str">
        <f>IF(ROW()-4&lt;=COUNTA(Empleados!$A$2:$A$201),INDEX(Empleados!$A$2:$A$201,ROW()-4),"")</f>
        <v/>
      </c>
      <c r="B141" s="25" t="str">
        <f>IF($A141="","",INDEX(Empleados!$E$2:$E$201,MATCH($A141,Empleados!$A$2:$A$201,0)))</f>
        <v/>
      </c>
      <c r="C141" s="25" t="str">
        <f>IF($A141="","",INDEX(Empleados!$O$2:$O$201,MATCH($A141,Empleados!$A$2:$A$201,0)))</f>
        <v/>
      </c>
      <c r="D141" s="25" t="str">
        <f>IF($A141="","",INDEX(Empleados!$P$2:$P$201,MATCH($A141,Empleados!$A$2:$A$201,0)))</f>
        <v/>
      </c>
      <c r="E141" s="20" t="str">
        <f>IF($A141="","",IF($N141&lt;&gt;"ACTIVO",0,INDEX(Empleados!$M$2:$M$201,MATCH($A141,Empleados!$A$2:$A$201,0))))</f>
        <v/>
      </c>
      <c r="F141" s="20" t="str">
        <f>IF($A141="","",IF($N141&lt;&gt;"ACTIVO",0,INDEX(Empleados!$N$2:$N$201,MATCH($A141,Empleados!$A$2:$A$201,0))))</f>
        <v/>
      </c>
      <c r="G141" s="20" t="str">
        <f>IF($A141="","",IF($N141&lt;&gt;"ACTIVO",0,SUMIFS(Conceptos_Pago!$E$2:$E$100,Conceptos_Pago!$C$2:$C$100,"FIJO",Conceptos_Pago!$D$2:$D$100,"SI")))</f>
        <v/>
      </c>
      <c r="H141" s="20" t="str">
        <f>IF($A141="","",IF($N141&lt;&gt;"ACTIVO",0,SUMIFS(Movimientos!$F$2:$F$500,Movimientos!$A$2:$A$500,$B$2,Movimientos!$B$2:$B$500,$A141,Movimientos!$C$2:$C$500,"PAGO")))</f>
        <v/>
      </c>
      <c r="I141" s="20" t="str">
        <f t="shared" si="12"/>
        <v/>
      </c>
      <c r="J141" s="20" t="str">
        <f>IF($A141="","",IF($N141&lt;&gt;"ACTIVO",0,SUMIFS(Deducciones!$E$2:$E$100,Deducciones!$F$2:$F$100,"SI",Deducciones!$G$2:$G$100,"SI",Deducciones!$C$2:$C$100,"FIJO")+E141*SUMIFS(Deducciones!$E$2:$E$100,Deducciones!$F$2:$F$100,"SI",Deducciones!$G$2:$G$100,"SI",Deducciones!$C$2:$C$100,"PORCENTAJE",Deducciones!$D$2:$D$100,"SUELDO_BASE")+I141*SUMIFS(Deducciones!$E$2:$E$100,Deducciones!$F$2:$F$100,"SI",Deducciones!$G$2:$G$100,"SI",Deducciones!$C$2:$C$100,"PORCENTAJE",Deducciones!$D$2:$D$100,"TOTAL_PERCEPCIONES")))</f>
        <v/>
      </c>
      <c r="K141" s="20" t="str">
        <f>IF($A141="","",IF($N141&lt;&gt;"ACTIVO",0,SUMIFS(Movimientos!$F$2:$F$500,Movimientos!$A$2:$A$500,$B$2,Movimientos!$B$2:$B$500,$A141,Movimientos!$C$2:$C$500,"DEDUCCION")))</f>
        <v/>
      </c>
      <c r="L141" s="20" t="str">
        <f t="shared" si="13"/>
        <v/>
      </c>
      <c r="M141" s="20" t="str">
        <f t="shared" si="14"/>
        <v/>
      </c>
      <c r="N141" s="25" t="str">
        <f>IF($A141="","",INDEX(Empleados!$J$2:$J$201,MATCH($A141,Empleados!$A$2:$A$201,0)))</f>
        <v/>
      </c>
    </row>
    <row r="142" spans="1:14" x14ac:dyDescent="0.45">
      <c r="A142" s="24" t="str">
        <f>IF(ROW()-4&lt;=COUNTA(Empleados!$A$2:$A$201),INDEX(Empleados!$A$2:$A$201,ROW()-4),"")</f>
        <v/>
      </c>
      <c r="B142" s="25" t="str">
        <f>IF($A142="","",INDEX(Empleados!$E$2:$E$201,MATCH($A142,Empleados!$A$2:$A$201,0)))</f>
        <v/>
      </c>
      <c r="C142" s="25" t="str">
        <f>IF($A142="","",INDEX(Empleados!$O$2:$O$201,MATCH($A142,Empleados!$A$2:$A$201,0)))</f>
        <v/>
      </c>
      <c r="D142" s="25" t="str">
        <f>IF($A142="","",INDEX(Empleados!$P$2:$P$201,MATCH($A142,Empleados!$A$2:$A$201,0)))</f>
        <v/>
      </c>
      <c r="E142" s="20" t="str">
        <f>IF($A142="","",IF($N142&lt;&gt;"ACTIVO",0,INDEX(Empleados!$M$2:$M$201,MATCH($A142,Empleados!$A$2:$A$201,0))))</f>
        <v/>
      </c>
      <c r="F142" s="20" t="str">
        <f>IF($A142="","",IF($N142&lt;&gt;"ACTIVO",0,INDEX(Empleados!$N$2:$N$201,MATCH($A142,Empleados!$A$2:$A$201,0))))</f>
        <v/>
      </c>
      <c r="G142" s="20" t="str">
        <f>IF($A142="","",IF($N142&lt;&gt;"ACTIVO",0,SUMIFS(Conceptos_Pago!$E$2:$E$100,Conceptos_Pago!$C$2:$C$100,"FIJO",Conceptos_Pago!$D$2:$D$100,"SI")))</f>
        <v/>
      </c>
      <c r="H142" s="20" t="str">
        <f>IF($A142="","",IF($N142&lt;&gt;"ACTIVO",0,SUMIFS(Movimientos!$F$2:$F$500,Movimientos!$A$2:$A$500,$B$2,Movimientos!$B$2:$B$500,$A142,Movimientos!$C$2:$C$500,"PAGO")))</f>
        <v/>
      </c>
      <c r="I142" s="20" t="str">
        <f t="shared" si="12"/>
        <v/>
      </c>
      <c r="J142" s="20" t="str">
        <f>IF($A142="","",IF($N142&lt;&gt;"ACTIVO",0,SUMIFS(Deducciones!$E$2:$E$100,Deducciones!$F$2:$F$100,"SI",Deducciones!$G$2:$G$100,"SI",Deducciones!$C$2:$C$100,"FIJO")+E142*SUMIFS(Deducciones!$E$2:$E$100,Deducciones!$F$2:$F$100,"SI",Deducciones!$G$2:$G$100,"SI",Deducciones!$C$2:$C$100,"PORCENTAJE",Deducciones!$D$2:$D$100,"SUELDO_BASE")+I142*SUMIFS(Deducciones!$E$2:$E$100,Deducciones!$F$2:$F$100,"SI",Deducciones!$G$2:$G$100,"SI",Deducciones!$C$2:$C$100,"PORCENTAJE",Deducciones!$D$2:$D$100,"TOTAL_PERCEPCIONES")))</f>
        <v/>
      </c>
      <c r="K142" s="20" t="str">
        <f>IF($A142="","",IF($N142&lt;&gt;"ACTIVO",0,SUMIFS(Movimientos!$F$2:$F$500,Movimientos!$A$2:$A$500,$B$2,Movimientos!$B$2:$B$500,$A142,Movimientos!$C$2:$C$500,"DEDUCCION")))</f>
        <v/>
      </c>
      <c r="L142" s="20" t="str">
        <f t="shared" si="13"/>
        <v/>
      </c>
      <c r="M142" s="20" t="str">
        <f t="shared" si="14"/>
        <v/>
      </c>
      <c r="N142" s="25" t="str">
        <f>IF($A142="","",INDEX(Empleados!$J$2:$J$201,MATCH($A142,Empleados!$A$2:$A$201,0)))</f>
        <v/>
      </c>
    </row>
    <row r="143" spans="1:14" x14ac:dyDescent="0.45">
      <c r="A143" s="24" t="str">
        <f>IF(ROW()-4&lt;=COUNTA(Empleados!$A$2:$A$201),INDEX(Empleados!$A$2:$A$201,ROW()-4),"")</f>
        <v/>
      </c>
      <c r="B143" s="25" t="str">
        <f>IF($A143="","",INDEX(Empleados!$E$2:$E$201,MATCH($A143,Empleados!$A$2:$A$201,0)))</f>
        <v/>
      </c>
      <c r="C143" s="25" t="str">
        <f>IF($A143="","",INDEX(Empleados!$O$2:$O$201,MATCH($A143,Empleados!$A$2:$A$201,0)))</f>
        <v/>
      </c>
      <c r="D143" s="25" t="str">
        <f>IF($A143="","",INDEX(Empleados!$P$2:$P$201,MATCH($A143,Empleados!$A$2:$A$201,0)))</f>
        <v/>
      </c>
      <c r="E143" s="20" t="str">
        <f>IF($A143="","",IF($N143&lt;&gt;"ACTIVO",0,INDEX(Empleados!$M$2:$M$201,MATCH($A143,Empleados!$A$2:$A$201,0))))</f>
        <v/>
      </c>
      <c r="F143" s="20" t="str">
        <f>IF($A143="","",IF($N143&lt;&gt;"ACTIVO",0,INDEX(Empleados!$N$2:$N$201,MATCH($A143,Empleados!$A$2:$A$201,0))))</f>
        <v/>
      </c>
      <c r="G143" s="20" t="str">
        <f>IF($A143="","",IF($N143&lt;&gt;"ACTIVO",0,SUMIFS(Conceptos_Pago!$E$2:$E$100,Conceptos_Pago!$C$2:$C$100,"FIJO",Conceptos_Pago!$D$2:$D$100,"SI")))</f>
        <v/>
      </c>
      <c r="H143" s="20" t="str">
        <f>IF($A143="","",IF($N143&lt;&gt;"ACTIVO",0,SUMIFS(Movimientos!$F$2:$F$500,Movimientos!$A$2:$A$500,$B$2,Movimientos!$B$2:$B$500,$A143,Movimientos!$C$2:$C$500,"PAGO")))</f>
        <v/>
      </c>
      <c r="I143" s="20" t="str">
        <f t="shared" si="12"/>
        <v/>
      </c>
      <c r="J143" s="20" t="str">
        <f>IF($A143="","",IF($N143&lt;&gt;"ACTIVO",0,SUMIFS(Deducciones!$E$2:$E$100,Deducciones!$F$2:$F$100,"SI",Deducciones!$G$2:$G$100,"SI",Deducciones!$C$2:$C$100,"FIJO")+E143*SUMIFS(Deducciones!$E$2:$E$100,Deducciones!$F$2:$F$100,"SI",Deducciones!$G$2:$G$100,"SI",Deducciones!$C$2:$C$100,"PORCENTAJE",Deducciones!$D$2:$D$100,"SUELDO_BASE")+I143*SUMIFS(Deducciones!$E$2:$E$100,Deducciones!$F$2:$F$100,"SI",Deducciones!$G$2:$G$100,"SI",Deducciones!$C$2:$C$100,"PORCENTAJE",Deducciones!$D$2:$D$100,"TOTAL_PERCEPCIONES")))</f>
        <v/>
      </c>
      <c r="K143" s="20" t="str">
        <f>IF($A143="","",IF($N143&lt;&gt;"ACTIVO",0,SUMIFS(Movimientos!$F$2:$F$500,Movimientos!$A$2:$A$500,$B$2,Movimientos!$B$2:$B$500,$A143,Movimientos!$C$2:$C$500,"DEDUCCION")))</f>
        <v/>
      </c>
      <c r="L143" s="20" t="str">
        <f t="shared" si="13"/>
        <v/>
      </c>
      <c r="M143" s="20" t="str">
        <f t="shared" si="14"/>
        <v/>
      </c>
      <c r="N143" s="25" t="str">
        <f>IF($A143="","",INDEX(Empleados!$J$2:$J$201,MATCH($A143,Empleados!$A$2:$A$201,0)))</f>
        <v/>
      </c>
    </row>
    <row r="144" spans="1:14" x14ac:dyDescent="0.45">
      <c r="A144" s="24" t="str">
        <f>IF(ROW()-4&lt;=COUNTA(Empleados!$A$2:$A$201),INDEX(Empleados!$A$2:$A$201,ROW()-4),"")</f>
        <v/>
      </c>
      <c r="B144" s="25" t="str">
        <f>IF($A144="","",INDEX(Empleados!$E$2:$E$201,MATCH($A144,Empleados!$A$2:$A$201,0)))</f>
        <v/>
      </c>
      <c r="C144" s="25" t="str">
        <f>IF($A144="","",INDEX(Empleados!$O$2:$O$201,MATCH($A144,Empleados!$A$2:$A$201,0)))</f>
        <v/>
      </c>
      <c r="D144" s="25" t="str">
        <f>IF($A144="","",INDEX(Empleados!$P$2:$P$201,MATCH($A144,Empleados!$A$2:$A$201,0)))</f>
        <v/>
      </c>
      <c r="E144" s="20" t="str">
        <f>IF($A144="","",IF($N144&lt;&gt;"ACTIVO",0,INDEX(Empleados!$M$2:$M$201,MATCH($A144,Empleados!$A$2:$A$201,0))))</f>
        <v/>
      </c>
      <c r="F144" s="20" t="str">
        <f>IF($A144="","",IF($N144&lt;&gt;"ACTIVO",0,INDEX(Empleados!$N$2:$N$201,MATCH($A144,Empleados!$A$2:$A$201,0))))</f>
        <v/>
      </c>
      <c r="G144" s="20" t="str">
        <f>IF($A144="","",IF($N144&lt;&gt;"ACTIVO",0,SUMIFS(Conceptos_Pago!$E$2:$E$100,Conceptos_Pago!$C$2:$C$100,"FIJO",Conceptos_Pago!$D$2:$D$100,"SI")))</f>
        <v/>
      </c>
      <c r="H144" s="20" t="str">
        <f>IF($A144="","",IF($N144&lt;&gt;"ACTIVO",0,SUMIFS(Movimientos!$F$2:$F$500,Movimientos!$A$2:$A$500,$B$2,Movimientos!$B$2:$B$500,$A144,Movimientos!$C$2:$C$500,"PAGO")))</f>
        <v/>
      </c>
      <c r="I144" s="20" t="str">
        <f t="shared" si="12"/>
        <v/>
      </c>
      <c r="J144" s="20" t="str">
        <f>IF($A144="","",IF($N144&lt;&gt;"ACTIVO",0,SUMIFS(Deducciones!$E$2:$E$100,Deducciones!$F$2:$F$100,"SI",Deducciones!$G$2:$G$100,"SI",Deducciones!$C$2:$C$100,"FIJO")+E144*SUMIFS(Deducciones!$E$2:$E$100,Deducciones!$F$2:$F$100,"SI",Deducciones!$G$2:$G$100,"SI",Deducciones!$C$2:$C$100,"PORCENTAJE",Deducciones!$D$2:$D$100,"SUELDO_BASE")+I144*SUMIFS(Deducciones!$E$2:$E$100,Deducciones!$F$2:$F$100,"SI",Deducciones!$G$2:$G$100,"SI",Deducciones!$C$2:$C$100,"PORCENTAJE",Deducciones!$D$2:$D$100,"TOTAL_PERCEPCIONES")))</f>
        <v/>
      </c>
      <c r="K144" s="20" t="str">
        <f>IF($A144="","",IF($N144&lt;&gt;"ACTIVO",0,SUMIFS(Movimientos!$F$2:$F$500,Movimientos!$A$2:$A$500,$B$2,Movimientos!$B$2:$B$500,$A144,Movimientos!$C$2:$C$500,"DEDUCCION")))</f>
        <v/>
      </c>
      <c r="L144" s="20" t="str">
        <f t="shared" si="13"/>
        <v/>
      </c>
      <c r="M144" s="20" t="str">
        <f t="shared" si="14"/>
        <v/>
      </c>
      <c r="N144" s="25" t="str">
        <f>IF($A144="","",INDEX(Empleados!$J$2:$J$201,MATCH($A144,Empleados!$A$2:$A$201,0)))</f>
        <v/>
      </c>
    </row>
    <row r="145" spans="1:14" x14ac:dyDescent="0.45">
      <c r="A145" s="24" t="str">
        <f>IF(ROW()-4&lt;=COUNTA(Empleados!$A$2:$A$201),INDEX(Empleados!$A$2:$A$201,ROW()-4),"")</f>
        <v/>
      </c>
      <c r="B145" s="25" t="str">
        <f>IF($A145="","",INDEX(Empleados!$E$2:$E$201,MATCH($A145,Empleados!$A$2:$A$201,0)))</f>
        <v/>
      </c>
      <c r="C145" s="25" t="str">
        <f>IF($A145="","",INDEX(Empleados!$O$2:$O$201,MATCH($A145,Empleados!$A$2:$A$201,0)))</f>
        <v/>
      </c>
      <c r="D145" s="25" t="str">
        <f>IF($A145="","",INDEX(Empleados!$P$2:$P$201,MATCH($A145,Empleados!$A$2:$A$201,0)))</f>
        <v/>
      </c>
      <c r="E145" s="20" t="str">
        <f>IF($A145="","",IF($N145&lt;&gt;"ACTIVO",0,INDEX(Empleados!$M$2:$M$201,MATCH($A145,Empleados!$A$2:$A$201,0))))</f>
        <v/>
      </c>
      <c r="F145" s="20" t="str">
        <f>IF($A145="","",IF($N145&lt;&gt;"ACTIVO",0,INDEX(Empleados!$N$2:$N$201,MATCH($A145,Empleados!$A$2:$A$201,0))))</f>
        <v/>
      </c>
      <c r="G145" s="20" t="str">
        <f>IF($A145="","",IF($N145&lt;&gt;"ACTIVO",0,SUMIFS(Conceptos_Pago!$E$2:$E$100,Conceptos_Pago!$C$2:$C$100,"FIJO",Conceptos_Pago!$D$2:$D$100,"SI")))</f>
        <v/>
      </c>
      <c r="H145" s="20" t="str">
        <f>IF($A145="","",IF($N145&lt;&gt;"ACTIVO",0,SUMIFS(Movimientos!$F$2:$F$500,Movimientos!$A$2:$A$500,$B$2,Movimientos!$B$2:$B$500,$A145,Movimientos!$C$2:$C$500,"PAGO")))</f>
        <v/>
      </c>
      <c r="I145" s="20" t="str">
        <f t="shared" si="12"/>
        <v/>
      </c>
      <c r="J145" s="20" t="str">
        <f>IF($A145="","",IF($N145&lt;&gt;"ACTIVO",0,SUMIFS(Deducciones!$E$2:$E$100,Deducciones!$F$2:$F$100,"SI",Deducciones!$G$2:$G$100,"SI",Deducciones!$C$2:$C$100,"FIJO")+E145*SUMIFS(Deducciones!$E$2:$E$100,Deducciones!$F$2:$F$100,"SI",Deducciones!$G$2:$G$100,"SI",Deducciones!$C$2:$C$100,"PORCENTAJE",Deducciones!$D$2:$D$100,"SUELDO_BASE")+I145*SUMIFS(Deducciones!$E$2:$E$100,Deducciones!$F$2:$F$100,"SI",Deducciones!$G$2:$G$100,"SI",Deducciones!$C$2:$C$100,"PORCENTAJE",Deducciones!$D$2:$D$100,"TOTAL_PERCEPCIONES")))</f>
        <v/>
      </c>
      <c r="K145" s="20" t="str">
        <f>IF($A145="","",IF($N145&lt;&gt;"ACTIVO",0,SUMIFS(Movimientos!$F$2:$F$500,Movimientos!$A$2:$A$500,$B$2,Movimientos!$B$2:$B$500,$A145,Movimientos!$C$2:$C$500,"DEDUCCION")))</f>
        <v/>
      </c>
      <c r="L145" s="20" t="str">
        <f t="shared" si="13"/>
        <v/>
      </c>
      <c r="M145" s="20" t="str">
        <f t="shared" si="14"/>
        <v/>
      </c>
      <c r="N145" s="25" t="str">
        <f>IF($A145="","",INDEX(Empleados!$J$2:$J$201,MATCH($A145,Empleados!$A$2:$A$201,0)))</f>
        <v/>
      </c>
    </row>
    <row r="146" spans="1:14" x14ac:dyDescent="0.45">
      <c r="A146" s="24" t="str">
        <f>IF(ROW()-4&lt;=COUNTA(Empleados!$A$2:$A$201),INDEX(Empleados!$A$2:$A$201,ROW()-4),"")</f>
        <v/>
      </c>
      <c r="B146" s="25" t="str">
        <f>IF($A146="","",INDEX(Empleados!$E$2:$E$201,MATCH($A146,Empleados!$A$2:$A$201,0)))</f>
        <v/>
      </c>
      <c r="C146" s="25" t="str">
        <f>IF($A146="","",INDEX(Empleados!$O$2:$O$201,MATCH($A146,Empleados!$A$2:$A$201,0)))</f>
        <v/>
      </c>
      <c r="D146" s="25" t="str">
        <f>IF($A146="","",INDEX(Empleados!$P$2:$P$201,MATCH($A146,Empleados!$A$2:$A$201,0)))</f>
        <v/>
      </c>
      <c r="E146" s="20" t="str">
        <f>IF($A146="","",IF($N146&lt;&gt;"ACTIVO",0,INDEX(Empleados!$M$2:$M$201,MATCH($A146,Empleados!$A$2:$A$201,0))))</f>
        <v/>
      </c>
      <c r="F146" s="20" t="str">
        <f>IF($A146="","",IF($N146&lt;&gt;"ACTIVO",0,INDEX(Empleados!$N$2:$N$201,MATCH($A146,Empleados!$A$2:$A$201,0))))</f>
        <v/>
      </c>
      <c r="G146" s="20" t="str">
        <f>IF($A146="","",IF($N146&lt;&gt;"ACTIVO",0,SUMIFS(Conceptos_Pago!$E$2:$E$100,Conceptos_Pago!$C$2:$C$100,"FIJO",Conceptos_Pago!$D$2:$D$100,"SI")))</f>
        <v/>
      </c>
      <c r="H146" s="20" t="str">
        <f>IF($A146="","",IF($N146&lt;&gt;"ACTIVO",0,SUMIFS(Movimientos!$F$2:$F$500,Movimientos!$A$2:$A$500,$B$2,Movimientos!$B$2:$B$500,$A146,Movimientos!$C$2:$C$500,"PAGO")))</f>
        <v/>
      </c>
      <c r="I146" s="20" t="str">
        <f t="shared" si="12"/>
        <v/>
      </c>
      <c r="J146" s="20" t="str">
        <f>IF($A146="","",IF($N146&lt;&gt;"ACTIVO",0,SUMIFS(Deducciones!$E$2:$E$100,Deducciones!$F$2:$F$100,"SI",Deducciones!$G$2:$G$100,"SI",Deducciones!$C$2:$C$100,"FIJO")+E146*SUMIFS(Deducciones!$E$2:$E$100,Deducciones!$F$2:$F$100,"SI",Deducciones!$G$2:$G$100,"SI",Deducciones!$C$2:$C$100,"PORCENTAJE",Deducciones!$D$2:$D$100,"SUELDO_BASE")+I146*SUMIFS(Deducciones!$E$2:$E$100,Deducciones!$F$2:$F$100,"SI",Deducciones!$G$2:$G$100,"SI",Deducciones!$C$2:$C$100,"PORCENTAJE",Deducciones!$D$2:$D$100,"TOTAL_PERCEPCIONES")))</f>
        <v/>
      </c>
      <c r="K146" s="20" t="str">
        <f>IF($A146="","",IF($N146&lt;&gt;"ACTIVO",0,SUMIFS(Movimientos!$F$2:$F$500,Movimientos!$A$2:$A$500,$B$2,Movimientos!$B$2:$B$500,$A146,Movimientos!$C$2:$C$500,"DEDUCCION")))</f>
        <v/>
      </c>
      <c r="L146" s="20" t="str">
        <f t="shared" si="13"/>
        <v/>
      </c>
      <c r="M146" s="20" t="str">
        <f t="shared" si="14"/>
        <v/>
      </c>
      <c r="N146" s="25" t="str">
        <f>IF($A146="","",INDEX(Empleados!$J$2:$J$201,MATCH($A146,Empleados!$A$2:$A$201,0)))</f>
        <v/>
      </c>
    </row>
    <row r="147" spans="1:14" x14ac:dyDescent="0.45">
      <c r="A147" s="24" t="str">
        <f>IF(ROW()-4&lt;=COUNTA(Empleados!$A$2:$A$201),INDEX(Empleados!$A$2:$A$201,ROW()-4),"")</f>
        <v/>
      </c>
      <c r="B147" s="25" t="str">
        <f>IF($A147="","",INDEX(Empleados!$E$2:$E$201,MATCH($A147,Empleados!$A$2:$A$201,0)))</f>
        <v/>
      </c>
      <c r="C147" s="25" t="str">
        <f>IF($A147="","",INDEX(Empleados!$O$2:$O$201,MATCH($A147,Empleados!$A$2:$A$201,0)))</f>
        <v/>
      </c>
      <c r="D147" s="25" t="str">
        <f>IF($A147="","",INDEX(Empleados!$P$2:$P$201,MATCH($A147,Empleados!$A$2:$A$201,0)))</f>
        <v/>
      </c>
      <c r="E147" s="20" t="str">
        <f>IF($A147="","",IF($N147&lt;&gt;"ACTIVO",0,INDEX(Empleados!$M$2:$M$201,MATCH($A147,Empleados!$A$2:$A$201,0))))</f>
        <v/>
      </c>
      <c r="F147" s="20" t="str">
        <f>IF($A147="","",IF($N147&lt;&gt;"ACTIVO",0,INDEX(Empleados!$N$2:$N$201,MATCH($A147,Empleados!$A$2:$A$201,0))))</f>
        <v/>
      </c>
      <c r="G147" s="20" t="str">
        <f>IF($A147="","",IF($N147&lt;&gt;"ACTIVO",0,SUMIFS(Conceptos_Pago!$E$2:$E$100,Conceptos_Pago!$C$2:$C$100,"FIJO",Conceptos_Pago!$D$2:$D$100,"SI")))</f>
        <v/>
      </c>
      <c r="H147" s="20" t="str">
        <f>IF($A147="","",IF($N147&lt;&gt;"ACTIVO",0,SUMIFS(Movimientos!$F$2:$F$500,Movimientos!$A$2:$A$500,$B$2,Movimientos!$B$2:$B$500,$A147,Movimientos!$C$2:$C$500,"PAGO")))</f>
        <v/>
      </c>
      <c r="I147" s="20" t="str">
        <f t="shared" si="12"/>
        <v/>
      </c>
      <c r="J147" s="20" t="str">
        <f>IF($A147="","",IF($N147&lt;&gt;"ACTIVO",0,SUMIFS(Deducciones!$E$2:$E$100,Deducciones!$F$2:$F$100,"SI",Deducciones!$G$2:$G$100,"SI",Deducciones!$C$2:$C$100,"FIJO")+E147*SUMIFS(Deducciones!$E$2:$E$100,Deducciones!$F$2:$F$100,"SI",Deducciones!$G$2:$G$100,"SI",Deducciones!$C$2:$C$100,"PORCENTAJE",Deducciones!$D$2:$D$100,"SUELDO_BASE")+I147*SUMIFS(Deducciones!$E$2:$E$100,Deducciones!$F$2:$F$100,"SI",Deducciones!$G$2:$G$100,"SI",Deducciones!$C$2:$C$100,"PORCENTAJE",Deducciones!$D$2:$D$100,"TOTAL_PERCEPCIONES")))</f>
        <v/>
      </c>
      <c r="K147" s="20" t="str">
        <f>IF($A147="","",IF($N147&lt;&gt;"ACTIVO",0,SUMIFS(Movimientos!$F$2:$F$500,Movimientos!$A$2:$A$500,$B$2,Movimientos!$B$2:$B$500,$A147,Movimientos!$C$2:$C$500,"DEDUCCION")))</f>
        <v/>
      </c>
      <c r="L147" s="20" t="str">
        <f t="shared" si="13"/>
        <v/>
      </c>
      <c r="M147" s="20" t="str">
        <f t="shared" si="14"/>
        <v/>
      </c>
      <c r="N147" s="25" t="str">
        <f>IF($A147="","",INDEX(Empleados!$J$2:$J$201,MATCH($A147,Empleados!$A$2:$A$201,0)))</f>
        <v/>
      </c>
    </row>
    <row r="148" spans="1:14" x14ac:dyDescent="0.45">
      <c r="A148" s="24" t="str">
        <f>IF(ROW()-4&lt;=COUNTA(Empleados!$A$2:$A$201),INDEX(Empleados!$A$2:$A$201,ROW()-4),"")</f>
        <v/>
      </c>
      <c r="B148" s="25" t="str">
        <f>IF($A148="","",INDEX(Empleados!$E$2:$E$201,MATCH($A148,Empleados!$A$2:$A$201,0)))</f>
        <v/>
      </c>
      <c r="C148" s="25" t="str">
        <f>IF($A148="","",INDEX(Empleados!$O$2:$O$201,MATCH($A148,Empleados!$A$2:$A$201,0)))</f>
        <v/>
      </c>
      <c r="D148" s="25" t="str">
        <f>IF($A148="","",INDEX(Empleados!$P$2:$P$201,MATCH($A148,Empleados!$A$2:$A$201,0)))</f>
        <v/>
      </c>
      <c r="E148" s="20" t="str">
        <f>IF($A148="","",IF($N148&lt;&gt;"ACTIVO",0,INDEX(Empleados!$M$2:$M$201,MATCH($A148,Empleados!$A$2:$A$201,0))))</f>
        <v/>
      </c>
      <c r="F148" s="20" t="str">
        <f>IF($A148="","",IF($N148&lt;&gt;"ACTIVO",0,INDEX(Empleados!$N$2:$N$201,MATCH($A148,Empleados!$A$2:$A$201,0))))</f>
        <v/>
      </c>
      <c r="G148" s="20" t="str">
        <f>IF($A148="","",IF($N148&lt;&gt;"ACTIVO",0,SUMIFS(Conceptos_Pago!$E$2:$E$100,Conceptos_Pago!$C$2:$C$100,"FIJO",Conceptos_Pago!$D$2:$D$100,"SI")))</f>
        <v/>
      </c>
      <c r="H148" s="20" t="str">
        <f>IF($A148="","",IF($N148&lt;&gt;"ACTIVO",0,SUMIFS(Movimientos!$F$2:$F$500,Movimientos!$A$2:$A$500,$B$2,Movimientos!$B$2:$B$500,$A148,Movimientos!$C$2:$C$500,"PAGO")))</f>
        <v/>
      </c>
      <c r="I148" s="20" t="str">
        <f t="shared" si="12"/>
        <v/>
      </c>
      <c r="J148" s="20" t="str">
        <f>IF($A148="","",IF($N148&lt;&gt;"ACTIVO",0,SUMIFS(Deducciones!$E$2:$E$100,Deducciones!$F$2:$F$100,"SI",Deducciones!$G$2:$G$100,"SI",Deducciones!$C$2:$C$100,"FIJO")+E148*SUMIFS(Deducciones!$E$2:$E$100,Deducciones!$F$2:$F$100,"SI",Deducciones!$G$2:$G$100,"SI",Deducciones!$C$2:$C$100,"PORCENTAJE",Deducciones!$D$2:$D$100,"SUELDO_BASE")+I148*SUMIFS(Deducciones!$E$2:$E$100,Deducciones!$F$2:$F$100,"SI",Deducciones!$G$2:$G$100,"SI",Deducciones!$C$2:$C$100,"PORCENTAJE",Deducciones!$D$2:$D$100,"TOTAL_PERCEPCIONES")))</f>
        <v/>
      </c>
      <c r="K148" s="20" t="str">
        <f>IF($A148="","",IF($N148&lt;&gt;"ACTIVO",0,SUMIFS(Movimientos!$F$2:$F$500,Movimientos!$A$2:$A$500,$B$2,Movimientos!$B$2:$B$500,$A148,Movimientos!$C$2:$C$500,"DEDUCCION")))</f>
        <v/>
      </c>
      <c r="L148" s="20" t="str">
        <f t="shared" si="13"/>
        <v/>
      </c>
      <c r="M148" s="20" t="str">
        <f t="shared" si="14"/>
        <v/>
      </c>
      <c r="N148" s="25" t="str">
        <f>IF($A148="","",INDEX(Empleados!$J$2:$J$201,MATCH($A148,Empleados!$A$2:$A$201,0)))</f>
        <v/>
      </c>
    </row>
    <row r="149" spans="1:14" x14ac:dyDescent="0.45">
      <c r="A149" s="24" t="str">
        <f>IF(ROW()-4&lt;=COUNTA(Empleados!$A$2:$A$201),INDEX(Empleados!$A$2:$A$201,ROW()-4),"")</f>
        <v/>
      </c>
      <c r="B149" s="25" t="str">
        <f>IF($A149="","",INDEX(Empleados!$E$2:$E$201,MATCH($A149,Empleados!$A$2:$A$201,0)))</f>
        <v/>
      </c>
      <c r="C149" s="25" t="str">
        <f>IF($A149="","",INDEX(Empleados!$O$2:$O$201,MATCH($A149,Empleados!$A$2:$A$201,0)))</f>
        <v/>
      </c>
      <c r="D149" s="25" t="str">
        <f>IF($A149="","",INDEX(Empleados!$P$2:$P$201,MATCH($A149,Empleados!$A$2:$A$201,0)))</f>
        <v/>
      </c>
      <c r="E149" s="20" t="str">
        <f>IF($A149="","",IF($N149&lt;&gt;"ACTIVO",0,INDEX(Empleados!$M$2:$M$201,MATCH($A149,Empleados!$A$2:$A$201,0))))</f>
        <v/>
      </c>
      <c r="F149" s="20" t="str">
        <f>IF($A149="","",IF($N149&lt;&gt;"ACTIVO",0,INDEX(Empleados!$N$2:$N$201,MATCH($A149,Empleados!$A$2:$A$201,0))))</f>
        <v/>
      </c>
      <c r="G149" s="20" t="str">
        <f>IF($A149="","",IF($N149&lt;&gt;"ACTIVO",0,SUMIFS(Conceptos_Pago!$E$2:$E$100,Conceptos_Pago!$C$2:$C$100,"FIJO",Conceptos_Pago!$D$2:$D$100,"SI")))</f>
        <v/>
      </c>
      <c r="H149" s="20" t="str">
        <f>IF($A149="","",IF($N149&lt;&gt;"ACTIVO",0,SUMIFS(Movimientos!$F$2:$F$500,Movimientos!$A$2:$A$500,$B$2,Movimientos!$B$2:$B$500,$A149,Movimientos!$C$2:$C$500,"PAGO")))</f>
        <v/>
      </c>
      <c r="I149" s="20" t="str">
        <f t="shared" si="12"/>
        <v/>
      </c>
      <c r="J149" s="20" t="str">
        <f>IF($A149="","",IF($N149&lt;&gt;"ACTIVO",0,SUMIFS(Deducciones!$E$2:$E$100,Deducciones!$F$2:$F$100,"SI",Deducciones!$G$2:$G$100,"SI",Deducciones!$C$2:$C$100,"FIJO")+E149*SUMIFS(Deducciones!$E$2:$E$100,Deducciones!$F$2:$F$100,"SI",Deducciones!$G$2:$G$100,"SI",Deducciones!$C$2:$C$100,"PORCENTAJE",Deducciones!$D$2:$D$100,"SUELDO_BASE")+I149*SUMIFS(Deducciones!$E$2:$E$100,Deducciones!$F$2:$F$100,"SI",Deducciones!$G$2:$G$100,"SI",Deducciones!$C$2:$C$100,"PORCENTAJE",Deducciones!$D$2:$D$100,"TOTAL_PERCEPCIONES")))</f>
        <v/>
      </c>
      <c r="K149" s="20" t="str">
        <f>IF($A149="","",IF($N149&lt;&gt;"ACTIVO",0,SUMIFS(Movimientos!$F$2:$F$500,Movimientos!$A$2:$A$500,$B$2,Movimientos!$B$2:$B$500,$A149,Movimientos!$C$2:$C$500,"DEDUCCION")))</f>
        <v/>
      </c>
      <c r="L149" s="20" t="str">
        <f t="shared" si="13"/>
        <v/>
      </c>
      <c r="M149" s="20" t="str">
        <f t="shared" si="14"/>
        <v/>
      </c>
      <c r="N149" s="25" t="str">
        <f>IF($A149="","",INDEX(Empleados!$J$2:$J$201,MATCH($A149,Empleados!$A$2:$A$201,0)))</f>
        <v/>
      </c>
    </row>
    <row r="150" spans="1:14" x14ac:dyDescent="0.45">
      <c r="A150" s="24" t="str">
        <f>IF(ROW()-4&lt;=COUNTA(Empleados!$A$2:$A$201),INDEX(Empleados!$A$2:$A$201,ROW()-4),"")</f>
        <v/>
      </c>
      <c r="B150" s="25" t="str">
        <f>IF($A150="","",INDEX(Empleados!$E$2:$E$201,MATCH($A150,Empleados!$A$2:$A$201,0)))</f>
        <v/>
      </c>
      <c r="C150" s="25" t="str">
        <f>IF($A150="","",INDEX(Empleados!$O$2:$O$201,MATCH($A150,Empleados!$A$2:$A$201,0)))</f>
        <v/>
      </c>
      <c r="D150" s="25" t="str">
        <f>IF($A150="","",INDEX(Empleados!$P$2:$P$201,MATCH($A150,Empleados!$A$2:$A$201,0)))</f>
        <v/>
      </c>
      <c r="E150" s="20" t="str">
        <f>IF($A150="","",IF($N150&lt;&gt;"ACTIVO",0,INDEX(Empleados!$M$2:$M$201,MATCH($A150,Empleados!$A$2:$A$201,0))))</f>
        <v/>
      </c>
      <c r="F150" s="20" t="str">
        <f>IF($A150="","",IF($N150&lt;&gt;"ACTIVO",0,INDEX(Empleados!$N$2:$N$201,MATCH($A150,Empleados!$A$2:$A$201,0))))</f>
        <v/>
      </c>
      <c r="G150" s="20" t="str">
        <f>IF($A150="","",IF($N150&lt;&gt;"ACTIVO",0,SUMIFS(Conceptos_Pago!$E$2:$E$100,Conceptos_Pago!$C$2:$C$100,"FIJO",Conceptos_Pago!$D$2:$D$100,"SI")))</f>
        <v/>
      </c>
      <c r="H150" s="20" t="str">
        <f>IF($A150="","",IF($N150&lt;&gt;"ACTIVO",0,SUMIFS(Movimientos!$F$2:$F$500,Movimientos!$A$2:$A$500,$B$2,Movimientos!$B$2:$B$500,$A150,Movimientos!$C$2:$C$500,"PAGO")))</f>
        <v/>
      </c>
      <c r="I150" s="20" t="str">
        <f t="shared" si="12"/>
        <v/>
      </c>
      <c r="J150" s="20" t="str">
        <f>IF($A150="","",IF($N150&lt;&gt;"ACTIVO",0,SUMIFS(Deducciones!$E$2:$E$100,Deducciones!$F$2:$F$100,"SI",Deducciones!$G$2:$G$100,"SI",Deducciones!$C$2:$C$100,"FIJO")+E150*SUMIFS(Deducciones!$E$2:$E$100,Deducciones!$F$2:$F$100,"SI",Deducciones!$G$2:$G$100,"SI",Deducciones!$C$2:$C$100,"PORCENTAJE",Deducciones!$D$2:$D$100,"SUELDO_BASE")+I150*SUMIFS(Deducciones!$E$2:$E$100,Deducciones!$F$2:$F$100,"SI",Deducciones!$G$2:$G$100,"SI",Deducciones!$C$2:$C$100,"PORCENTAJE",Deducciones!$D$2:$D$100,"TOTAL_PERCEPCIONES")))</f>
        <v/>
      </c>
      <c r="K150" s="20" t="str">
        <f>IF($A150="","",IF($N150&lt;&gt;"ACTIVO",0,SUMIFS(Movimientos!$F$2:$F$500,Movimientos!$A$2:$A$500,$B$2,Movimientos!$B$2:$B$500,$A150,Movimientos!$C$2:$C$500,"DEDUCCION")))</f>
        <v/>
      </c>
      <c r="L150" s="20" t="str">
        <f t="shared" si="13"/>
        <v/>
      </c>
      <c r="M150" s="20" t="str">
        <f t="shared" si="14"/>
        <v/>
      </c>
      <c r="N150" s="25" t="str">
        <f>IF($A150="","",INDEX(Empleados!$J$2:$J$201,MATCH($A150,Empleados!$A$2:$A$201,0)))</f>
        <v/>
      </c>
    </row>
    <row r="151" spans="1:14" x14ac:dyDescent="0.45">
      <c r="A151" s="24" t="str">
        <f>IF(ROW()-4&lt;=COUNTA(Empleados!$A$2:$A$201),INDEX(Empleados!$A$2:$A$201,ROW()-4),"")</f>
        <v/>
      </c>
      <c r="B151" s="25" t="str">
        <f>IF($A151="","",INDEX(Empleados!$E$2:$E$201,MATCH($A151,Empleados!$A$2:$A$201,0)))</f>
        <v/>
      </c>
      <c r="C151" s="25" t="str">
        <f>IF($A151="","",INDEX(Empleados!$O$2:$O$201,MATCH($A151,Empleados!$A$2:$A$201,0)))</f>
        <v/>
      </c>
      <c r="D151" s="25" t="str">
        <f>IF($A151="","",INDEX(Empleados!$P$2:$P$201,MATCH($A151,Empleados!$A$2:$A$201,0)))</f>
        <v/>
      </c>
      <c r="E151" s="20" t="str">
        <f>IF($A151="","",IF($N151&lt;&gt;"ACTIVO",0,INDEX(Empleados!$M$2:$M$201,MATCH($A151,Empleados!$A$2:$A$201,0))))</f>
        <v/>
      </c>
      <c r="F151" s="20" t="str">
        <f>IF($A151="","",IF($N151&lt;&gt;"ACTIVO",0,INDEX(Empleados!$N$2:$N$201,MATCH($A151,Empleados!$A$2:$A$201,0))))</f>
        <v/>
      </c>
      <c r="G151" s="20" t="str">
        <f>IF($A151="","",IF($N151&lt;&gt;"ACTIVO",0,SUMIFS(Conceptos_Pago!$E$2:$E$100,Conceptos_Pago!$C$2:$C$100,"FIJO",Conceptos_Pago!$D$2:$D$100,"SI")))</f>
        <v/>
      </c>
      <c r="H151" s="20" t="str">
        <f>IF($A151="","",IF($N151&lt;&gt;"ACTIVO",0,SUMIFS(Movimientos!$F$2:$F$500,Movimientos!$A$2:$A$500,$B$2,Movimientos!$B$2:$B$500,$A151,Movimientos!$C$2:$C$500,"PAGO")))</f>
        <v/>
      </c>
      <c r="I151" s="20" t="str">
        <f t="shared" si="12"/>
        <v/>
      </c>
      <c r="J151" s="20" t="str">
        <f>IF($A151="","",IF($N151&lt;&gt;"ACTIVO",0,SUMIFS(Deducciones!$E$2:$E$100,Deducciones!$F$2:$F$100,"SI",Deducciones!$G$2:$G$100,"SI",Deducciones!$C$2:$C$100,"FIJO")+E151*SUMIFS(Deducciones!$E$2:$E$100,Deducciones!$F$2:$F$100,"SI",Deducciones!$G$2:$G$100,"SI",Deducciones!$C$2:$C$100,"PORCENTAJE",Deducciones!$D$2:$D$100,"SUELDO_BASE")+I151*SUMIFS(Deducciones!$E$2:$E$100,Deducciones!$F$2:$F$100,"SI",Deducciones!$G$2:$G$100,"SI",Deducciones!$C$2:$C$100,"PORCENTAJE",Deducciones!$D$2:$D$100,"TOTAL_PERCEPCIONES")))</f>
        <v/>
      </c>
      <c r="K151" s="20" t="str">
        <f>IF($A151="","",IF($N151&lt;&gt;"ACTIVO",0,SUMIFS(Movimientos!$F$2:$F$500,Movimientos!$A$2:$A$500,$B$2,Movimientos!$B$2:$B$500,$A151,Movimientos!$C$2:$C$500,"DEDUCCION")))</f>
        <v/>
      </c>
      <c r="L151" s="20" t="str">
        <f t="shared" si="13"/>
        <v/>
      </c>
      <c r="M151" s="20" t="str">
        <f t="shared" si="14"/>
        <v/>
      </c>
      <c r="N151" s="25" t="str">
        <f>IF($A151="","",INDEX(Empleados!$J$2:$J$201,MATCH($A151,Empleados!$A$2:$A$201,0)))</f>
        <v/>
      </c>
    </row>
    <row r="152" spans="1:14" x14ac:dyDescent="0.45">
      <c r="A152" s="24" t="str">
        <f>IF(ROW()-4&lt;=COUNTA(Empleados!$A$2:$A$201),INDEX(Empleados!$A$2:$A$201,ROW()-4),"")</f>
        <v/>
      </c>
      <c r="B152" s="25" t="str">
        <f>IF($A152="","",INDEX(Empleados!$E$2:$E$201,MATCH($A152,Empleados!$A$2:$A$201,0)))</f>
        <v/>
      </c>
      <c r="C152" s="25" t="str">
        <f>IF($A152="","",INDEX(Empleados!$O$2:$O$201,MATCH($A152,Empleados!$A$2:$A$201,0)))</f>
        <v/>
      </c>
      <c r="D152" s="25" t="str">
        <f>IF($A152="","",INDEX(Empleados!$P$2:$P$201,MATCH($A152,Empleados!$A$2:$A$201,0)))</f>
        <v/>
      </c>
      <c r="E152" s="20" t="str">
        <f>IF($A152="","",IF($N152&lt;&gt;"ACTIVO",0,INDEX(Empleados!$M$2:$M$201,MATCH($A152,Empleados!$A$2:$A$201,0))))</f>
        <v/>
      </c>
      <c r="F152" s="20" t="str">
        <f>IF($A152="","",IF($N152&lt;&gt;"ACTIVO",0,INDEX(Empleados!$N$2:$N$201,MATCH($A152,Empleados!$A$2:$A$201,0))))</f>
        <v/>
      </c>
      <c r="G152" s="20" t="str">
        <f>IF($A152="","",IF($N152&lt;&gt;"ACTIVO",0,SUMIFS(Conceptos_Pago!$E$2:$E$100,Conceptos_Pago!$C$2:$C$100,"FIJO",Conceptos_Pago!$D$2:$D$100,"SI")))</f>
        <v/>
      </c>
      <c r="H152" s="20" t="str">
        <f>IF($A152="","",IF($N152&lt;&gt;"ACTIVO",0,SUMIFS(Movimientos!$F$2:$F$500,Movimientos!$A$2:$A$500,$B$2,Movimientos!$B$2:$B$500,$A152,Movimientos!$C$2:$C$500,"PAGO")))</f>
        <v/>
      </c>
      <c r="I152" s="20" t="str">
        <f t="shared" si="12"/>
        <v/>
      </c>
      <c r="J152" s="20" t="str">
        <f>IF($A152="","",IF($N152&lt;&gt;"ACTIVO",0,SUMIFS(Deducciones!$E$2:$E$100,Deducciones!$F$2:$F$100,"SI",Deducciones!$G$2:$G$100,"SI",Deducciones!$C$2:$C$100,"FIJO")+E152*SUMIFS(Deducciones!$E$2:$E$100,Deducciones!$F$2:$F$100,"SI",Deducciones!$G$2:$G$100,"SI",Deducciones!$C$2:$C$100,"PORCENTAJE",Deducciones!$D$2:$D$100,"SUELDO_BASE")+I152*SUMIFS(Deducciones!$E$2:$E$100,Deducciones!$F$2:$F$100,"SI",Deducciones!$G$2:$G$100,"SI",Deducciones!$C$2:$C$100,"PORCENTAJE",Deducciones!$D$2:$D$100,"TOTAL_PERCEPCIONES")))</f>
        <v/>
      </c>
      <c r="K152" s="20" t="str">
        <f>IF($A152="","",IF($N152&lt;&gt;"ACTIVO",0,SUMIFS(Movimientos!$F$2:$F$500,Movimientos!$A$2:$A$500,$B$2,Movimientos!$B$2:$B$500,$A152,Movimientos!$C$2:$C$500,"DEDUCCION")))</f>
        <v/>
      </c>
      <c r="L152" s="20" t="str">
        <f t="shared" si="13"/>
        <v/>
      </c>
      <c r="M152" s="20" t="str">
        <f t="shared" si="14"/>
        <v/>
      </c>
      <c r="N152" s="25" t="str">
        <f>IF($A152="","",INDEX(Empleados!$J$2:$J$201,MATCH($A152,Empleados!$A$2:$A$201,0)))</f>
        <v/>
      </c>
    </row>
    <row r="153" spans="1:14" x14ac:dyDescent="0.45">
      <c r="A153" s="24" t="str">
        <f>IF(ROW()-4&lt;=COUNTA(Empleados!$A$2:$A$201),INDEX(Empleados!$A$2:$A$201,ROW()-4),"")</f>
        <v/>
      </c>
      <c r="B153" s="25" t="str">
        <f>IF($A153="","",INDEX(Empleados!$E$2:$E$201,MATCH($A153,Empleados!$A$2:$A$201,0)))</f>
        <v/>
      </c>
      <c r="C153" s="25" t="str">
        <f>IF($A153="","",INDEX(Empleados!$O$2:$O$201,MATCH($A153,Empleados!$A$2:$A$201,0)))</f>
        <v/>
      </c>
      <c r="D153" s="25" t="str">
        <f>IF($A153="","",INDEX(Empleados!$P$2:$P$201,MATCH($A153,Empleados!$A$2:$A$201,0)))</f>
        <v/>
      </c>
      <c r="E153" s="20" t="str">
        <f>IF($A153="","",IF($N153&lt;&gt;"ACTIVO",0,INDEX(Empleados!$M$2:$M$201,MATCH($A153,Empleados!$A$2:$A$201,0))))</f>
        <v/>
      </c>
      <c r="F153" s="20" t="str">
        <f>IF($A153="","",IF($N153&lt;&gt;"ACTIVO",0,INDEX(Empleados!$N$2:$N$201,MATCH($A153,Empleados!$A$2:$A$201,0))))</f>
        <v/>
      </c>
      <c r="G153" s="20" t="str">
        <f>IF($A153="","",IF($N153&lt;&gt;"ACTIVO",0,SUMIFS(Conceptos_Pago!$E$2:$E$100,Conceptos_Pago!$C$2:$C$100,"FIJO",Conceptos_Pago!$D$2:$D$100,"SI")))</f>
        <v/>
      </c>
      <c r="H153" s="20" t="str">
        <f>IF($A153="","",IF($N153&lt;&gt;"ACTIVO",0,SUMIFS(Movimientos!$F$2:$F$500,Movimientos!$A$2:$A$500,$B$2,Movimientos!$B$2:$B$500,$A153,Movimientos!$C$2:$C$500,"PAGO")))</f>
        <v/>
      </c>
      <c r="I153" s="20" t="str">
        <f t="shared" si="12"/>
        <v/>
      </c>
      <c r="J153" s="20" t="str">
        <f>IF($A153="","",IF($N153&lt;&gt;"ACTIVO",0,SUMIFS(Deducciones!$E$2:$E$100,Deducciones!$F$2:$F$100,"SI",Deducciones!$G$2:$G$100,"SI",Deducciones!$C$2:$C$100,"FIJO")+E153*SUMIFS(Deducciones!$E$2:$E$100,Deducciones!$F$2:$F$100,"SI",Deducciones!$G$2:$G$100,"SI",Deducciones!$C$2:$C$100,"PORCENTAJE",Deducciones!$D$2:$D$100,"SUELDO_BASE")+I153*SUMIFS(Deducciones!$E$2:$E$100,Deducciones!$F$2:$F$100,"SI",Deducciones!$G$2:$G$100,"SI",Deducciones!$C$2:$C$100,"PORCENTAJE",Deducciones!$D$2:$D$100,"TOTAL_PERCEPCIONES")))</f>
        <v/>
      </c>
      <c r="K153" s="20" t="str">
        <f>IF($A153="","",IF($N153&lt;&gt;"ACTIVO",0,SUMIFS(Movimientos!$F$2:$F$500,Movimientos!$A$2:$A$500,$B$2,Movimientos!$B$2:$B$500,$A153,Movimientos!$C$2:$C$500,"DEDUCCION")))</f>
        <v/>
      </c>
      <c r="L153" s="20" t="str">
        <f t="shared" si="13"/>
        <v/>
      </c>
      <c r="M153" s="20" t="str">
        <f t="shared" si="14"/>
        <v/>
      </c>
      <c r="N153" s="25" t="str">
        <f>IF($A153="","",INDEX(Empleados!$J$2:$J$201,MATCH($A153,Empleados!$A$2:$A$201,0)))</f>
        <v/>
      </c>
    </row>
    <row r="154" spans="1:14" x14ac:dyDescent="0.45">
      <c r="A154" s="24" t="str">
        <f>IF(ROW()-4&lt;=COUNTA(Empleados!$A$2:$A$201),INDEX(Empleados!$A$2:$A$201,ROW()-4),"")</f>
        <v/>
      </c>
      <c r="B154" s="25" t="str">
        <f>IF($A154="","",INDEX(Empleados!$E$2:$E$201,MATCH($A154,Empleados!$A$2:$A$201,0)))</f>
        <v/>
      </c>
      <c r="C154" s="25" t="str">
        <f>IF($A154="","",INDEX(Empleados!$O$2:$O$201,MATCH($A154,Empleados!$A$2:$A$201,0)))</f>
        <v/>
      </c>
      <c r="D154" s="25" t="str">
        <f>IF($A154="","",INDEX(Empleados!$P$2:$P$201,MATCH($A154,Empleados!$A$2:$A$201,0)))</f>
        <v/>
      </c>
      <c r="E154" s="20" t="str">
        <f>IF($A154="","",IF($N154&lt;&gt;"ACTIVO",0,INDEX(Empleados!$M$2:$M$201,MATCH($A154,Empleados!$A$2:$A$201,0))))</f>
        <v/>
      </c>
      <c r="F154" s="20" t="str">
        <f>IF($A154="","",IF($N154&lt;&gt;"ACTIVO",0,INDEX(Empleados!$N$2:$N$201,MATCH($A154,Empleados!$A$2:$A$201,0))))</f>
        <v/>
      </c>
      <c r="G154" s="20" t="str">
        <f>IF($A154="","",IF($N154&lt;&gt;"ACTIVO",0,SUMIFS(Conceptos_Pago!$E$2:$E$100,Conceptos_Pago!$C$2:$C$100,"FIJO",Conceptos_Pago!$D$2:$D$100,"SI")))</f>
        <v/>
      </c>
      <c r="H154" s="20" t="str">
        <f>IF($A154="","",IF($N154&lt;&gt;"ACTIVO",0,SUMIFS(Movimientos!$F$2:$F$500,Movimientos!$A$2:$A$500,$B$2,Movimientos!$B$2:$B$500,$A154,Movimientos!$C$2:$C$500,"PAGO")))</f>
        <v/>
      </c>
      <c r="I154" s="20" t="str">
        <f t="shared" si="12"/>
        <v/>
      </c>
      <c r="J154" s="20" t="str">
        <f>IF($A154="","",IF($N154&lt;&gt;"ACTIVO",0,SUMIFS(Deducciones!$E$2:$E$100,Deducciones!$F$2:$F$100,"SI",Deducciones!$G$2:$G$100,"SI",Deducciones!$C$2:$C$100,"FIJO")+E154*SUMIFS(Deducciones!$E$2:$E$100,Deducciones!$F$2:$F$100,"SI",Deducciones!$G$2:$G$100,"SI",Deducciones!$C$2:$C$100,"PORCENTAJE",Deducciones!$D$2:$D$100,"SUELDO_BASE")+I154*SUMIFS(Deducciones!$E$2:$E$100,Deducciones!$F$2:$F$100,"SI",Deducciones!$G$2:$G$100,"SI",Deducciones!$C$2:$C$100,"PORCENTAJE",Deducciones!$D$2:$D$100,"TOTAL_PERCEPCIONES")))</f>
        <v/>
      </c>
      <c r="K154" s="20" t="str">
        <f>IF($A154="","",IF($N154&lt;&gt;"ACTIVO",0,SUMIFS(Movimientos!$F$2:$F$500,Movimientos!$A$2:$A$500,$B$2,Movimientos!$B$2:$B$500,$A154,Movimientos!$C$2:$C$500,"DEDUCCION")))</f>
        <v/>
      </c>
      <c r="L154" s="20" t="str">
        <f t="shared" si="13"/>
        <v/>
      </c>
      <c r="M154" s="20" t="str">
        <f t="shared" si="14"/>
        <v/>
      </c>
      <c r="N154" s="25" t="str">
        <f>IF($A154="","",INDEX(Empleados!$J$2:$J$201,MATCH($A154,Empleados!$A$2:$A$201,0)))</f>
        <v/>
      </c>
    </row>
    <row r="155" spans="1:14" x14ac:dyDescent="0.45">
      <c r="A155" s="24" t="str">
        <f>IF(ROW()-4&lt;=COUNTA(Empleados!$A$2:$A$201),INDEX(Empleados!$A$2:$A$201,ROW()-4),"")</f>
        <v/>
      </c>
      <c r="B155" s="25" t="str">
        <f>IF($A155="","",INDEX(Empleados!$E$2:$E$201,MATCH($A155,Empleados!$A$2:$A$201,0)))</f>
        <v/>
      </c>
      <c r="C155" s="25" t="str">
        <f>IF($A155="","",INDEX(Empleados!$O$2:$O$201,MATCH($A155,Empleados!$A$2:$A$201,0)))</f>
        <v/>
      </c>
      <c r="D155" s="25" t="str">
        <f>IF($A155="","",INDEX(Empleados!$P$2:$P$201,MATCH($A155,Empleados!$A$2:$A$201,0)))</f>
        <v/>
      </c>
      <c r="E155" s="20" t="str">
        <f>IF($A155="","",IF($N155&lt;&gt;"ACTIVO",0,INDEX(Empleados!$M$2:$M$201,MATCH($A155,Empleados!$A$2:$A$201,0))))</f>
        <v/>
      </c>
      <c r="F155" s="20" t="str">
        <f>IF($A155="","",IF($N155&lt;&gt;"ACTIVO",0,INDEX(Empleados!$N$2:$N$201,MATCH($A155,Empleados!$A$2:$A$201,0))))</f>
        <v/>
      </c>
      <c r="G155" s="20" t="str">
        <f>IF($A155="","",IF($N155&lt;&gt;"ACTIVO",0,SUMIFS(Conceptos_Pago!$E$2:$E$100,Conceptos_Pago!$C$2:$C$100,"FIJO",Conceptos_Pago!$D$2:$D$100,"SI")))</f>
        <v/>
      </c>
      <c r="H155" s="20" t="str">
        <f>IF($A155="","",IF($N155&lt;&gt;"ACTIVO",0,SUMIFS(Movimientos!$F$2:$F$500,Movimientos!$A$2:$A$500,$B$2,Movimientos!$B$2:$B$500,$A155,Movimientos!$C$2:$C$500,"PAGO")))</f>
        <v/>
      </c>
      <c r="I155" s="20" t="str">
        <f t="shared" si="12"/>
        <v/>
      </c>
      <c r="J155" s="20" t="str">
        <f>IF($A155="","",IF($N155&lt;&gt;"ACTIVO",0,SUMIFS(Deducciones!$E$2:$E$100,Deducciones!$F$2:$F$100,"SI",Deducciones!$G$2:$G$100,"SI",Deducciones!$C$2:$C$100,"FIJO")+E155*SUMIFS(Deducciones!$E$2:$E$100,Deducciones!$F$2:$F$100,"SI",Deducciones!$G$2:$G$100,"SI",Deducciones!$C$2:$C$100,"PORCENTAJE",Deducciones!$D$2:$D$100,"SUELDO_BASE")+I155*SUMIFS(Deducciones!$E$2:$E$100,Deducciones!$F$2:$F$100,"SI",Deducciones!$G$2:$G$100,"SI",Deducciones!$C$2:$C$100,"PORCENTAJE",Deducciones!$D$2:$D$100,"TOTAL_PERCEPCIONES")))</f>
        <v/>
      </c>
      <c r="K155" s="20" t="str">
        <f>IF($A155="","",IF($N155&lt;&gt;"ACTIVO",0,SUMIFS(Movimientos!$F$2:$F$500,Movimientos!$A$2:$A$500,$B$2,Movimientos!$B$2:$B$500,$A155,Movimientos!$C$2:$C$500,"DEDUCCION")))</f>
        <v/>
      </c>
      <c r="L155" s="20" t="str">
        <f t="shared" si="13"/>
        <v/>
      </c>
      <c r="M155" s="20" t="str">
        <f t="shared" si="14"/>
        <v/>
      </c>
      <c r="N155" s="25" t="str">
        <f>IF($A155="","",INDEX(Empleados!$J$2:$J$201,MATCH($A155,Empleados!$A$2:$A$201,0)))</f>
        <v/>
      </c>
    </row>
    <row r="156" spans="1:14" x14ac:dyDescent="0.45">
      <c r="A156" s="24" t="str">
        <f>IF(ROW()-4&lt;=COUNTA(Empleados!$A$2:$A$201),INDEX(Empleados!$A$2:$A$201,ROW()-4),"")</f>
        <v/>
      </c>
      <c r="B156" s="25" t="str">
        <f>IF($A156="","",INDEX(Empleados!$E$2:$E$201,MATCH($A156,Empleados!$A$2:$A$201,0)))</f>
        <v/>
      </c>
      <c r="C156" s="25" t="str">
        <f>IF($A156="","",INDEX(Empleados!$O$2:$O$201,MATCH($A156,Empleados!$A$2:$A$201,0)))</f>
        <v/>
      </c>
      <c r="D156" s="25" t="str">
        <f>IF($A156="","",INDEX(Empleados!$P$2:$P$201,MATCH($A156,Empleados!$A$2:$A$201,0)))</f>
        <v/>
      </c>
      <c r="E156" s="20" t="str">
        <f>IF($A156="","",IF($N156&lt;&gt;"ACTIVO",0,INDEX(Empleados!$M$2:$M$201,MATCH($A156,Empleados!$A$2:$A$201,0))))</f>
        <v/>
      </c>
      <c r="F156" s="20" t="str">
        <f>IF($A156="","",IF($N156&lt;&gt;"ACTIVO",0,INDEX(Empleados!$N$2:$N$201,MATCH($A156,Empleados!$A$2:$A$201,0))))</f>
        <v/>
      </c>
      <c r="G156" s="20" t="str">
        <f>IF($A156="","",IF($N156&lt;&gt;"ACTIVO",0,SUMIFS(Conceptos_Pago!$E$2:$E$100,Conceptos_Pago!$C$2:$C$100,"FIJO",Conceptos_Pago!$D$2:$D$100,"SI")))</f>
        <v/>
      </c>
      <c r="H156" s="20" t="str">
        <f>IF($A156="","",IF($N156&lt;&gt;"ACTIVO",0,SUMIFS(Movimientos!$F$2:$F$500,Movimientos!$A$2:$A$500,$B$2,Movimientos!$B$2:$B$500,$A156,Movimientos!$C$2:$C$500,"PAGO")))</f>
        <v/>
      </c>
      <c r="I156" s="20" t="str">
        <f t="shared" si="12"/>
        <v/>
      </c>
      <c r="J156" s="20" t="str">
        <f>IF($A156="","",IF($N156&lt;&gt;"ACTIVO",0,SUMIFS(Deducciones!$E$2:$E$100,Deducciones!$F$2:$F$100,"SI",Deducciones!$G$2:$G$100,"SI",Deducciones!$C$2:$C$100,"FIJO")+E156*SUMIFS(Deducciones!$E$2:$E$100,Deducciones!$F$2:$F$100,"SI",Deducciones!$G$2:$G$100,"SI",Deducciones!$C$2:$C$100,"PORCENTAJE",Deducciones!$D$2:$D$100,"SUELDO_BASE")+I156*SUMIFS(Deducciones!$E$2:$E$100,Deducciones!$F$2:$F$100,"SI",Deducciones!$G$2:$G$100,"SI",Deducciones!$C$2:$C$100,"PORCENTAJE",Deducciones!$D$2:$D$100,"TOTAL_PERCEPCIONES")))</f>
        <v/>
      </c>
      <c r="K156" s="20" t="str">
        <f>IF($A156="","",IF($N156&lt;&gt;"ACTIVO",0,SUMIFS(Movimientos!$F$2:$F$500,Movimientos!$A$2:$A$500,$B$2,Movimientos!$B$2:$B$500,$A156,Movimientos!$C$2:$C$500,"DEDUCCION")))</f>
        <v/>
      </c>
      <c r="L156" s="20" t="str">
        <f t="shared" si="13"/>
        <v/>
      </c>
      <c r="M156" s="20" t="str">
        <f t="shared" si="14"/>
        <v/>
      </c>
      <c r="N156" s="25" t="str">
        <f>IF($A156="","",INDEX(Empleados!$J$2:$J$201,MATCH($A156,Empleados!$A$2:$A$201,0)))</f>
        <v/>
      </c>
    </row>
    <row r="157" spans="1:14" x14ac:dyDescent="0.45">
      <c r="A157" s="24" t="str">
        <f>IF(ROW()-4&lt;=COUNTA(Empleados!$A$2:$A$201),INDEX(Empleados!$A$2:$A$201,ROW()-4),"")</f>
        <v/>
      </c>
      <c r="B157" s="25" t="str">
        <f>IF($A157="","",INDEX(Empleados!$E$2:$E$201,MATCH($A157,Empleados!$A$2:$A$201,0)))</f>
        <v/>
      </c>
      <c r="C157" s="25" t="str">
        <f>IF($A157="","",INDEX(Empleados!$O$2:$O$201,MATCH($A157,Empleados!$A$2:$A$201,0)))</f>
        <v/>
      </c>
      <c r="D157" s="25" t="str">
        <f>IF($A157="","",INDEX(Empleados!$P$2:$P$201,MATCH($A157,Empleados!$A$2:$A$201,0)))</f>
        <v/>
      </c>
      <c r="E157" s="20" t="str">
        <f>IF($A157="","",IF($N157&lt;&gt;"ACTIVO",0,INDEX(Empleados!$M$2:$M$201,MATCH($A157,Empleados!$A$2:$A$201,0))))</f>
        <v/>
      </c>
      <c r="F157" s="20" t="str">
        <f>IF($A157="","",IF($N157&lt;&gt;"ACTIVO",0,INDEX(Empleados!$N$2:$N$201,MATCH($A157,Empleados!$A$2:$A$201,0))))</f>
        <v/>
      </c>
      <c r="G157" s="20" t="str">
        <f>IF($A157="","",IF($N157&lt;&gt;"ACTIVO",0,SUMIFS(Conceptos_Pago!$E$2:$E$100,Conceptos_Pago!$C$2:$C$100,"FIJO",Conceptos_Pago!$D$2:$D$100,"SI")))</f>
        <v/>
      </c>
      <c r="H157" s="20" t="str">
        <f>IF($A157="","",IF($N157&lt;&gt;"ACTIVO",0,SUMIFS(Movimientos!$F$2:$F$500,Movimientos!$A$2:$A$500,$B$2,Movimientos!$B$2:$B$500,$A157,Movimientos!$C$2:$C$500,"PAGO")))</f>
        <v/>
      </c>
      <c r="I157" s="20" t="str">
        <f t="shared" si="12"/>
        <v/>
      </c>
      <c r="J157" s="20" t="str">
        <f>IF($A157="","",IF($N157&lt;&gt;"ACTIVO",0,SUMIFS(Deducciones!$E$2:$E$100,Deducciones!$F$2:$F$100,"SI",Deducciones!$G$2:$G$100,"SI",Deducciones!$C$2:$C$100,"FIJO")+E157*SUMIFS(Deducciones!$E$2:$E$100,Deducciones!$F$2:$F$100,"SI",Deducciones!$G$2:$G$100,"SI",Deducciones!$C$2:$C$100,"PORCENTAJE",Deducciones!$D$2:$D$100,"SUELDO_BASE")+I157*SUMIFS(Deducciones!$E$2:$E$100,Deducciones!$F$2:$F$100,"SI",Deducciones!$G$2:$G$100,"SI",Deducciones!$C$2:$C$100,"PORCENTAJE",Deducciones!$D$2:$D$100,"TOTAL_PERCEPCIONES")))</f>
        <v/>
      </c>
      <c r="K157" s="20" t="str">
        <f>IF($A157="","",IF($N157&lt;&gt;"ACTIVO",0,SUMIFS(Movimientos!$F$2:$F$500,Movimientos!$A$2:$A$500,$B$2,Movimientos!$B$2:$B$500,$A157,Movimientos!$C$2:$C$500,"DEDUCCION")))</f>
        <v/>
      </c>
      <c r="L157" s="20" t="str">
        <f t="shared" si="13"/>
        <v/>
      </c>
      <c r="M157" s="20" t="str">
        <f t="shared" si="14"/>
        <v/>
      </c>
      <c r="N157" s="25" t="str">
        <f>IF($A157="","",INDEX(Empleados!$J$2:$J$201,MATCH($A157,Empleados!$A$2:$A$201,0)))</f>
        <v/>
      </c>
    </row>
    <row r="158" spans="1:14" x14ac:dyDescent="0.45">
      <c r="A158" s="24" t="str">
        <f>IF(ROW()-4&lt;=COUNTA(Empleados!$A$2:$A$201),INDEX(Empleados!$A$2:$A$201,ROW()-4),"")</f>
        <v/>
      </c>
      <c r="B158" s="25" t="str">
        <f>IF($A158="","",INDEX(Empleados!$E$2:$E$201,MATCH($A158,Empleados!$A$2:$A$201,0)))</f>
        <v/>
      </c>
      <c r="C158" s="25" t="str">
        <f>IF($A158="","",INDEX(Empleados!$O$2:$O$201,MATCH($A158,Empleados!$A$2:$A$201,0)))</f>
        <v/>
      </c>
      <c r="D158" s="25" t="str">
        <f>IF($A158="","",INDEX(Empleados!$P$2:$P$201,MATCH($A158,Empleados!$A$2:$A$201,0)))</f>
        <v/>
      </c>
      <c r="E158" s="20" t="str">
        <f>IF($A158="","",IF($N158&lt;&gt;"ACTIVO",0,INDEX(Empleados!$M$2:$M$201,MATCH($A158,Empleados!$A$2:$A$201,0))))</f>
        <v/>
      </c>
      <c r="F158" s="20" t="str">
        <f>IF($A158="","",IF($N158&lt;&gt;"ACTIVO",0,INDEX(Empleados!$N$2:$N$201,MATCH($A158,Empleados!$A$2:$A$201,0))))</f>
        <v/>
      </c>
      <c r="G158" s="20" t="str">
        <f>IF($A158="","",IF($N158&lt;&gt;"ACTIVO",0,SUMIFS(Conceptos_Pago!$E$2:$E$100,Conceptos_Pago!$C$2:$C$100,"FIJO",Conceptos_Pago!$D$2:$D$100,"SI")))</f>
        <v/>
      </c>
      <c r="H158" s="20" t="str">
        <f>IF($A158="","",IF($N158&lt;&gt;"ACTIVO",0,SUMIFS(Movimientos!$F$2:$F$500,Movimientos!$A$2:$A$500,$B$2,Movimientos!$B$2:$B$500,$A158,Movimientos!$C$2:$C$500,"PAGO")))</f>
        <v/>
      </c>
      <c r="I158" s="20" t="str">
        <f t="shared" si="12"/>
        <v/>
      </c>
      <c r="J158" s="20" t="str">
        <f>IF($A158="","",IF($N158&lt;&gt;"ACTIVO",0,SUMIFS(Deducciones!$E$2:$E$100,Deducciones!$F$2:$F$100,"SI",Deducciones!$G$2:$G$100,"SI",Deducciones!$C$2:$C$100,"FIJO")+E158*SUMIFS(Deducciones!$E$2:$E$100,Deducciones!$F$2:$F$100,"SI",Deducciones!$G$2:$G$100,"SI",Deducciones!$C$2:$C$100,"PORCENTAJE",Deducciones!$D$2:$D$100,"SUELDO_BASE")+I158*SUMIFS(Deducciones!$E$2:$E$100,Deducciones!$F$2:$F$100,"SI",Deducciones!$G$2:$G$100,"SI",Deducciones!$C$2:$C$100,"PORCENTAJE",Deducciones!$D$2:$D$100,"TOTAL_PERCEPCIONES")))</f>
        <v/>
      </c>
      <c r="K158" s="20" t="str">
        <f>IF($A158="","",IF($N158&lt;&gt;"ACTIVO",0,SUMIFS(Movimientos!$F$2:$F$500,Movimientos!$A$2:$A$500,$B$2,Movimientos!$B$2:$B$500,$A158,Movimientos!$C$2:$C$500,"DEDUCCION")))</f>
        <v/>
      </c>
      <c r="L158" s="20" t="str">
        <f t="shared" si="13"/>
        <v/>
      </c>
      <c r="M158" s="20" t="str">
        <f t="shared" si="14"/>
        <v/>
      </c>
      <c r="N158" s="25" t="str">
        <f>IF($A158="","",INDEX(Empleados!$J$2:$J$201,MATCH($A158,Empleados!$A$2:$A$201,0)))</f>
        <v/>
      </c>
    </row>
    <row r="159" spans="1:14" x14ac:dyDescent="0.45">
      <c r="A159" s="24" t="str">
        <f>IF(ROW()-4&lt;=COUNTA(Empleados!$A$2:$A$201),INDEX(Empleados!$A$2:$A$201,ROW()-4),"")</f>
        <v/>
      </c>
      <c r="B159" s="25" t="str">
        <f>IF($A159="","",INDEX(Empleados!$E$2:$E$201,MATCH($A159,Empleados!$A$2:$A$201,0)))</f>
        <v/>
      </c>
      <c r="C159" s="25" t="str">
        <f>IF($A159="","",INDEX(Empleados!$O$2:$O$201,MATCH($A159,Empleados!$A$2:$A$201,0)))</f>
        <v/>
      </c>
      <c r="D159" s="25" t="str">
        <f>IF($A159="","",INDEX(Empleados!$P$2:$P$201,MATCH($A159,Empleados!$A$2:$A$201,0)))</f>
        <v/>
      </c>
      <c r="E159" s="20" t="str">
        <f>IF($A159="","",IF($N159&lt;&gt;"ACTIVO",0,INDEX(Empleados!$M$2:$M$201,MATCH($A159,Empleados!$A$2:$A$201,0))))</f>
        <v/>
      </c>
      <c r="F159" s="20" t="str">
        <f>IF($A159="","",IF($N159&lt;&gt;"ACTIVO",0,INDEX(Empleados!$N$2:$N$201,MATCH($A159,Empleados!$A$2:$A$201,0))))</f>
        <v/>
      </c>
      <c r="G159" s="20" t="str">
        <f>IF($A159="","",IF($N159&lt;&gt;"ACTIVO",0,SUMIFS(Conceptos_Pago!$E$2:$E$100,Conceptos_Pago!$C$2:$C$100,"FIJO",Conceptos_Pago!$D$2:$D$100,"SI")))</f>
        <v/>
      </c>
      <c r="H159" s="20" t="str">
        <f>IF($A159="","",IF($N159&lt;&gt;"ACTIVO",0,SUMIFS(Movimientos!$F$2:$F$500,Movimientos!$A$2:$A$500,$B$2,Movimientos!$B$2:$B$500,$A159,Movimientos!$C$2:$C$500,"PAGO")))</f>
        <v/>
      </c>
      <c r="I159" s="20" t="str">
        <f t="shared" si="12"/>
        <v/>
      </c>
      <c r="J159" s="20" t="str">
        <f>IF($A159="","",IF($N159&lt;&gt;"ACTIVO",0,SUMIFS(Deducciones!$E$2:$E$100,Deducciones!$F$2:$F$100,"SI",Deducciones!$G$2:$G$100,"SI",Deducciones!$C$2:$C$100,"FIJO")+E159*SUMIFS(Deducciones!$E$2:$E$100,Deducciones!$F$2:$F$100,"SI",Deducciones!$G$2:$G$100,"SI",Deducciones!$C$2:$C$100,"PORCENTAJE",Deducciones!$D$2:$D$100,"SUELDO_BASE")+I159*SUMIFS(Deducciones!$E$2:$E$100,Deducciones!$F$2:$F$100,"SI",Deducciones!$G$2:$G$100,"SI",Deducciones!$C$2:$C$100,"PORCENTAJE",Deducciones!$D$2:$D$100,"TOTAL_PERCEPCIONES")))</f>
        <v/>
      </c>
      <c r="K159" s="20" t="str">
        <f>IF($A159="","",IF($N159&lt;&gt;"ACTIVO",0,SUMIFS(Movimientos!$F$2:$F$500,Movimientos!$A$2:$A$500,$B$2,Movimientos!$B$2:$B$500,$A159,Movimientos!$C$2:$C$500,"DEDUCCION")))</f>
        <v/>
      </c>
      <c r="L159" s="20" t="str">
        <f t="shared" si="13"/>
        <v/>
      </c>
      <c r="M159" s="20" t="str">
        <f t="shared" si="14"/>
        <v/>
      </c>
      <c r="N159" s="25" t="str">
        <f>IF($A159="","",INDEX(Empleados!$J$2:$J$201,MATCH($A159,Empleados!$A$2:$A$201,0)))</f>
        <v/>
      </c>
    </row>
    <row r="160" spans="1:14" x14ac:dyDescent="0.45">
      <c r="A160" s="24" t="str">
        <f>IF(ROW()-4&lt;=COUNTA(Empleados!$A$2:$A$201),INDEX(Empleados!$A$2:$A$201,ROW()-4),"")</f>
        <v/>
      </c>
      <c r="B160" s="25" t="str">
        <f>IF($A160="","",INDEX(Empleados!$E$2:$E$201,MATCH($A160,Empleados!$A$2:$A$201,0)))</f>
        <v/>
      </c>
      <c r="C160" s="25" t="str">
        <f>IF($A160="","",INDEX(Empleados!$O$2:$O$201,MATCH($A160,Empleados!$A$2:$A$201,0)))</f>
        <v/>
      </c>
      <c r="D160" s="25" t="str">
        <f>IF($A160="","",INDEX(Empleados!$P$2:$P$201,MATCH($A160,Empleados!$A$2:$A$201,0)))</f>
        <v/>
      </c>
      <c r="E160" s="20" t="str">
        <f>IF($A160="","",IF($N160&lt;&gt;"ACTIVO",0,INDEX(Empleados!$M$2:$M$201,MATCH($A160,Empleados!$A$2:$A$201,0))))</f>
        <v/>
      </c>
      <c r="F160" s="20" t="str">
        <f>IF($A160="","",IF($N160&lt;&gt;"ACTIVO",0,INDEX(Empleados!$N$2:$N$201,MATCH($A160,Empleados!$A$2:$A$201,0))))</f>
        <v/>
      </c>
      <c r="G160" s="20" t="str">
        <f>IF($A160="","",IF($N160&lt;&gt;"ACTIVO",0,SUMIFS(Conceptos_Pago!$E$2:$E$100,Conceptos_Pago!$C$2:$C$100,"FIJO",Conceptos_Pago!$D$2:$D$100,"SI")))</f>
        <v/>
      </c>
      <c r="H160" s="20" t="str">
        <f>IF($A160="","",IF($N160&lt;&gt;"ACTIVO",0,SUMIFS(Movimientos!$F$2:$F$500,Movimientos!$A$2:$A$500,$B$2,Movimientos!$B$2:$B$500,$A160,Movimientos!$C$2:$C$500,"PAGO")))</f>
        <v/>
      </c>
      <c r="I160" s="20" t="str">
        <f t="shared" si="12"/>
        <v/>
      </c>
      <c r="J160" s="20" t="str">
        <f>IF($A160="","",IF($N160&lt;&gt;"ACTIVO",0,SUMIFS(Deducciones!$E$2:$E$100,Deducciones!$F$2:$F$100,"SI",Deducciones!$G$2:$G$100,"SI",Deducciones!$C$2:$C$100,"FIJO")+E160*SUMIFS(Deducciones!$E$2:$E$100,Deducciones!$F$2:$F$100,"SI",Deducciones!$G$2:$G$100,"SI",Deducciones!$C$2:$C$100,"PORCENTAJE",Deducciones!$D$2:$D$100,"SUELDO_BASE")+I160*SUMIFS(Deducciones!$E$2:$E$100,Deducciones!$F$2:$F$100,"SI",Deducciones!$G$2:$G$100,"SI",Deducciones!$C$2:$C$100,"PORCENTAJE",Deducciones!$D$2:$D$100,"TOTAL_PERCEPCIONES")))</f>
        <v/>
      </c>
      <c r="K160" s="20" t="str">
        <f>IF($A160="","",IF($N160&lt;&gt;"ACTIVO",0,SUMIFS(Movimientos!$F$2:$F$500,Movimientos!$A$2:$A$500,$B$2,Movimientos!$B$2:$B$500,$A160,Movimientos!$C$2:$C$500,"DEDUCCION")))</f>
        <v/>
      </c>
      <c r="L160" s="20" t="str">
        <f t="shared" si="13"/>
        <v/>
      </c>
      <c r="M160" s="20" t="str">
        <f t="shared" si="14"/>
        <v/>
      </c>
      <c r="N160" s="25" t="str">
        <f>IF($A160="","",INDEX(Empleados!$J$2:$J$201,MATCH($A160,Empleados!$A$2:$A$201,0)))</f>
        <v/>
      </c>
    </row>
    <row r="161" spans="1:14" x14ac:dyDescent="0.45">
      <c r="A161" s="24" t="str">
        <f>IF(ROW()-4&lt;=COUNTA(Empleados!$A$2:$A$201),INDEX(Empleados!$A$2:$A$201,ROW()-4),"")</f>
        <v/>
      </c>
      <c r="B161" s="25" t="str">
        <f>IF($A161="","",INDEX(Empleados!$E$2:$E$201,MATCH($A161,Empleados!$A$2:$A$201,0)))</f>
        <v/>
      </c>
      <c r="C161" s="25" t="str">
        <f>IF($A161="","",INDEX(Empleados!$O$2:$O$201,MATCH($A161,Empleados!$A$2:$A$201,0)))</f>
        <v/>
      </c>
      <c r="D161" s="25" t="str">
        <f>IF($A161="","",INDEX(Empleados!$P$2:$P$201,MATCH($A161,Empleados!$A$2:$A$201,0)))</f>
        <v/>
      </c>
      <c r="E161" s="20" t="str">
        <f>IF($A161="","",IF($N161&lt;&gt;"ACTIVO",0,INDEX(Empleados!$M$2:$M$201,MATCH($A161,Empleados!$A$2:$A$201,0))))</f>
        <v/>
      </c>
      <c r="F161" s="20" t="str">
        <f>IF($A161="","",IF($N161&lt;&gt;"ACTIVO",0,INDEX(Empleados!$N$2:$N$201,MATCH($A161,Empleados!$A$2:$A$201,0))))</f>
        <v/>
      </c>
      <c r="G161" s="20" t="str">
        <f>IF($A161="","",IF($N161&lt;&gt;"ACTIVO",0,SUMIFS(Conceptos_Pago!$E$2:$E$100,Conceptos_Pago!$C$2:$C$100,"FIJO",Conceptos_Pago!$D$2:$D$100,"SI")))</f>
        <v/>
      </c>
      <c r="H161" s="20" t="str">
        <f>IF($A161="","",IF($N161&lt;&gt;"ACTIVO",0,SUMIFS(Movimientos!$F$2:$F$500,Movimientos!$A$2:$A$500,$B$2,Movimientos!$B$2:$B$500,$A161,Movimientos!$C$2:$C$500,"PAGO")))</f>
        <v/>
      </c>
      <c r="I161" s="20" t="str">
        <f t="shared" si="12"/>
        <v/>
      </c>
      <c r="J161" s="20" t="str">
        <f>IF($A161="","",IF($N161&lt;&gt;"ACTIVO",0,SUMIFS(Deducciones!$E$2:$E$100,Deducciones!$F$2:$F$100,"SI",Deducciones!$G$2:$G$100,"SI",Deducciones!$C$2:$C$100,"FIJO")+E161*SUMIFS(Deducciones!$E$2:$E$100,Deducciones!$F$2:$F$100,"SI",Deducciones!$G$2:$G$100,"SI",Deducciones!$C$2:$C$100,"PORCENTAJE",Deducciones!$D$2:$D$100,"SUELDO_BASE")+I161*SUMIFS(Deducciones!$E$2:$E$100,Deducciones!$F$2:$F$100,"SI",Deducciones!$G$2:$G$100,"SI",Deducciones!$C$2:$C$100,"PORCENTAJE",Deducciones!$D$2:$D$100,"TOTAL_PERCEPCIONES")))</f>
        <v/>
      </c>
      <c r="K161" s="20" t="str">
        <f>IF($A161="","",IF($N161&lt;&gt;"ACTIVO",0,SUMIFS(Movimientos!$F$2:$F$500,Movimientos!$A$2:$A$500,$B$2,Movimientos!$B$2:$B$500,$A161,Movimientos!$C$2:$C$500,"DEDUCCION")))</f>
        <v/>
      </c>
      <c r="L161" s="20" t="str">
        <f t="shared" si="13"/>
        <v/>
      </c>
      <c r="M161" s="20" t="str">
        <f t="shared" si="14"/>
        <v/>
      </c>
      <c r="N161" s="25" t="str">
        <f>IF($A161="","",INDEX(Empleados!$J$2:$J$201,MATCH($A161,Empleados!$A$2:$A$201,0)))</f>
        <v/>
      </c>
    </row>
    <row r="162" spans="1:14" x14ac:dyDescent="0.45">
      <c r="A162" s="24" t="str">
        <f>IF(ROW()-4&lt;=COUNTA(Empleados!$A$2:$A$201),INDEX(Empleados!$A$2:$A$201,ROW()-4),"")</f>
        <v/>
      </c>
      <c r="B162" s="25" t="str">
        <f>IF($A162="","",INDEX(Empleados!$E$2:$E$201,MATCH($A162,Empleados!$A$2:$A$201,0)))</f>
        <v/>
      </c>
      <c r="C162" s="25" t="str">
        <f>IF($A162="","",INDEX(Empleados!$O$2:$O$201,MATCH($A162,Empleados!$A$2:$A$201,0)))</f>
        <v/>
      </c>
      <c r="D162" s="25" t="str">
        <f>IF($A162="","",INDEX(Empleados!$P$2:$P$201,MATCH($A162,Empleados!$A$2:$A$201,0)))</f>
        <v/>
      </c>
      <c r="E162" s="20" t="str">
        <f>IF($A162="","",IF($N162&lt;&gt;"ACTIVO",0,INDEX(Empleados!$M$2:$M$201,MATCH($A162,Empleados!$A$2:$A$201,0))))</f>
        <v/>
      </c>
      <c r="F162" s="20" t="str">
        <f>IF($A162="","",IF($N162&lt;&gt;"ACTIVO",0,INDEX(Empleados!$N$2:$N$201,MATCH($A162,Empleados!$A$2:$A$201,0))))</f>
        <v/>
      </c>
      <c r="G162" s="20" t="str">
        <f>IF($A162="","",IF($N162&lt;&gt;"ACTIVO",0,SUMIFS(Conceptos_Pago!$E$2:$E$100,Conceptos_Pago!$C$2:$C$100,"FIJO",Conceptos_Pago!$D$2:$D$100,"SI")))</f>
        <v/>
      </c>
      <c r="H162" s="20" t="str">
        <f>IF($A162="","",IF($N162&lt;&gt;"ACTIVO",0,SUMIFS(Movimientos!$F$2:$F$500,Movimientos!$A$2:$A$500,$B$2,Movimientos!$B$2:$B$500,$A162,Movimientos!$C$2:$C$500,"PAGO")))</f>
        <v/>
      </c>
      <c r="I162" s="20" t="str">
        <f t="shared" si="12"/>
        <v/>
      </c>
      <c r="J162" s="20" t="str">
        <f>IF($A162="","",IF($N162&lt;&gt;"ACTIVO",0,SUMIFS(Deducciones!$E$2:$E$100,Deducciones!$F$2:$F$100,"SI",Deducciones!$G$2:$G$100,"SI",Deducciones!$C$2:$C$100,"FIJO")+E162*SUMIFS(Deducciones!$E$2:$E$100,Deducciones!$F$2:$F$100,"SI",Deducciones!$G$2:$G$100,"SI",Deducciones!$C$2:$C$100,"PORCENTAJE",Deducciones!$D$2:$D$100,"SUELDO_BASE")+I162*SUMIFS(Deducciones!$E$2:$E$100,Deducciones!$F$2:$F$100,"SI",Deducciones!$G$2:$G$100,"SI",Deducciones!$C$2:$C$100,"PORCENTAJE",Deducciones!$D$2:$D$100,"TOTAL_PERCEPCIONES")))</f>
        <v/>
      </c>
      <c r="K162" s="20" t="str">
        <f>IF($A162="","",IF($N162&lt;&gt;"ACTIVO",0,SUMIFS(Movimientos!$F$2:$F$500,Movimientos!$A$2:$A$500,$B$2,Movimientos!$B$2:$B$500,$A162,Movimientos!$C$2:$C$500,"DEDUCCION")))</f>
        <v/>
      </c>
      <c r="L162" s="20" t="str">
        <f t="shared" si="13"/>
        <v/>
      </c>
      <c r="M162" s="20" t="str">
        <f t="shared" si="14"/>
        <v/>
      </c>
      <c r="N162" s="25" t="str">
        <f>IF($A162="","",INDEX(Empleados!$J$2:$J$201,MATCH($A162,Empleados!$A$2:$A$201,0)))</f>
        <v/>
      </c>
    </row>
    <row r="163" spans="1:14" x14ac:dyDescent="0.45">
      <c r="A163" s="24" t="str">
        <f>IF(ROW()-4&lt;=COUNTA(Empleados!$A$2:$A$201),INDEX(Empleados!$A$2:$A$201,ROW()-4),"")</f>
        <v/>
      </c>
      <c r="B163" s="25" t="str">
        <f>IF($A163="","",INDEX(Empleados!$E$2:$E$201,MATCH($A163,Empleados!$A$2:$A$201,0)))</f>
        <v/>
      </c>
      <c r="C163" s="25" t="str">
        <f>IF($A163="","",INDEX(Empleados!$O$2:$O$201,MATCH($A163,Empleados!$A$2:$A$201,0)))</f>
        <v/>
      </c>
      <c r="D163" s="25" t="str">
        <f>IF($A163="","",INDEX(Empleados!$P$2:$P$201,MATCH($A163,Empleados!$A$2:$A$201,0)))</f>
        <v/>
      </c>
      <c r="E163" s="20" t="str">
        <f>IF($A163="","",IF($N163&lt;&gt;"ACTIVO",0,INDEX(Empleados!$M$2:$M$201,MATCH($A163,Empleados!$A$2:$A$201,0))))</f>
        <v/>
      </c>
      <c r="F163" s="20" t="str">
        <f>IF($A163="","",IF($N163&lt;&gt;"ACTIVO",0,INDEX(Empleados!$N$2:$N$201,MATCH($A163,Empleados!$A$2:$A$201,0))))</f>
        <v/>
      </c>
      <c r="G163" s="20" t="str">
        <f>IF($A163="","",IF($N163&lt;&gt;"ACTIVO",0,SUMIFS(Conceptos_Pago!$E$2:$E$100,Conceptos_Pago!$C$2:$C$100,"FIJO",Conceptos_Pago!$D$2:$D$100,"SI")))</f>
        <v/>
      </c>
      <c r="H163" s="20" t="str">
        <f>IF($A163="","",IF($N163&lt;&gt;"ACTIVO",0,SUMIFS(Movimientos!$F$2:$F$500,Movimientos!$A$2:$A$500,$B$2,Movimientos!$B$2:$B$500,$A163,Movimientos!$C$2:$C$500,"PAGO")))</f>
        <v/>
      </c>
      <c r="I163" s="20" t="str">
        <f t="shared" si="12"/>
        <v/>
      </c>
      <c r="J163" s="20" t="str">
        <f>IF($A163="","",IF($N163&lt;&gt;"ACTIVO",0,SUMIFS(Deducciones!$E$2:$E$100,Deducciones!$F$2:$F$100,"SI",Deducciones!$G$2:$G$100,"SI",Deducciones!$C$2:$C$100,"FIJO")+E163*SUMIFS(Deducciones!$E$2:$E$100,Deducciones!$F$2:$F$100,"SI",Deducciones!$G$2:$G$100,"SI",Deducciones!$C$2:$C$100,"PORCENTAJE",Deducciones!$D$2:$D$100,"SUELDO_BASE")+I163*SUMIFS(Deducciones!$E$2:$E$100,Deducciones!$F$2:$F$100,"SI",Deducciones!$G$2:$G$100,"SI",Deducciones!$C$2:$C$100,"PORCENTAJE",Deducciones!$D$2:$D$100,"TOTAL_PERCEPCIONES")))</f>
        <v/>
      </c>
      <c r="K163" s="20" t="str">
        <f>IF($A163="","",IF($N163&lt;&gt;"ACTIVO",0,SUMIFS(Movimientos!$F$2:$F$500,Movimientos!$A$2:$A$500,$B$2,Movimientos!$B$2:$B$500,$A163,Movimientos!$C$2:$C$500,"DEDUCCION")))</f>
        <v/>
      </c>
      <c r="L163" s="20" t="str">
        <f t="shared" si="13"/>
        <v/>
      </c>
      <c r="M163" s="20" t="str">
        <f t="shared" si="14"/>
        <v/>
      </c>
      <c r="N163" s="25" t="str">
        <f>IF($A163="","",INDEX(Empleados!$J$2:$J$201,MATCH($A163,Empleados!$A$2:$A$201,0)))</f>
        <v/>
      </c>
    </row>
    <row r="164" spans="1:14" x14ac:dyDescent="0.45">
      <c r="A164" s="24" t="str">
        <f>IF(ROW()-4&lt;=COUNTA(Empleados!$A$2:$A$201),INDEX(Empleados!$A$2:$A$201,ROW()-4),"")</f>
        <v/>
      </c>
      <c r="B164" s="25" t="str">
        <f>IF($A164="","",INDEX(Empleados!$E$2:$E$201,MATCH($A164,Empleados!$A$2:$A$201,0)))</f>
        <v/>
      </c>
      <c r="C164" s="25" t="str">
        <f>IF($A164="","",INDEX(Empleados!$O$2:$O$201,MATCH($A164,Empleados!$A$2:$A$201,0)))</f>
        <v/>
      </c>
      <c r="D164" s="25" t="str">
        <f>IF($A164="","",INDEX(Empleados!$P$2:$P$201,MATCH($A164,Empleados!$A$2:$A$201,0)))</f>
        <v/>
      </c>
      <c r="E164" s="20" t="str">
        <f>IF($A164="","",IF($N164&lt;&gt;"ACTIVO",0,INDEX(Empleados!$M$2:$M$201,MATCH($A164,Empleados!$A$2:$A$201,0))))</f>
        <v/>
      </c>
      <c r="F164" s="20" t="str">
        <f>IF($A164="","",IF($N164&lt;&gt;"ACTIVO",0,INDEX(Empleados!$N$2:$N$201,MATCH($A164,Empleados!$A$2:$A$201,0))))</f>
        <v/>
      </c>
      <c r="G164" s="20" t="str">
        <f>IF($A164="","",IF($N164&lt;&gt;"ACTIVO",0,SUMIFS(Conceptos_Pago!$E$2:$E$100,Conceptos_Pago!$C$2:$C$100,"FIJO",Conceptos_Pago!$D$2:$D$100,"SI")))</f>
        <v/>
      </c>
      <c r="H164" s="20" t="str">
        <f>IF($A164="","",IF($N164&lt;&gt;"ACTIVO",0,SUMIFS(Movimientos!$F$2:$F$500,Movimientos!$A$2:$A$500,$B$2,Movimientos!$B$2:$B$500,$A164,Movimientos!$C$2:$C$500,"PAGO")))</f>
        <v/>
      </c>
      <c r="I164" s="20" t="str">
        <f t="shared" si="12"/>
        <v/>
      </c>
      <c r="J164" s="20" t="str">
        <f>IF($A164="","",IF($N164&lt;&gt;"ACTIVO",0,SUMIFS(Deducciones!$E$2:$E$100,Deducciones!$F$2:$F$100,"SI",Deducciones!$G$2:$G$100,"SI",Deducciones!$C$2:$C$100,"FIJO")+E164*SUMIFS(Deducciones!$E$2:$E$100,Deducciones!$F$2:$F$100,"SI",Deducciones!$G$2:$G$100,"SI",Deducciones!$C$2:$C$100,"PORCENTAJE",Deducciones!$D$2:$D$100,"SUELDO_BASE")+I164*SUMIFS(Deducciones!$E$2:$E$100,Deducciones!$F$2:$F$100,"SI",Deducciones!$G$2:$G$100,"SI",Deducciones!$C$2:$C$100,"PORCENTAJE",Deducciones!$D$2:$D$100,"TOTAL_PERCEPCIONES")))</f>
        <v/>
      </c>
      <c r="K164" s="20" t="str">
        <f>IF($A164="","",IF($N164&lt;&gt;"ACTIVO",0,SUMIFS(Movimientos!$F$2:$F$500,Movimientos!$A$2:$A$500,$B$2,Movimientos!$B$2:$B$500,$A164,Movimientos!$C$2:$C$500,"DEDUCCION")))</f>
        <v/>
      </c>
      <c r="L164" s="20" t="str">
        <f t="shared" si="13"/>
        <v/>
      </c>
      <c r="M164" s="20" t="str">
        <f t="shared" si="14"/>
        <v/>
      </c>
      <c r="N164" s="25" t="str">
        <f>IF($A164="","",INDEX(Empleados!$J$2:$J$201,MATCH($A164,Empleados!$A$2:$A$201,0)))</f>
        <v/>
      </c>
    </row>
    <row r="165" spans="1:14" x14ac:dyDescent="0.45">
      <c r="A165" s="24" t="str">
        <f>IF(ROW()-4&lt;=COUNTA(Empleados!$A$2:$A$201),INDEX(Empleados!$A$2:$A$201,ROW()-4),"")</f>
        <v/>
      </c>
      <c r="B165" s="25" t="str">
        <f>IF($A165="","",INDEX(Empleados!$E$2:$E$201,MATCH($A165,Empleados!$A$2:$A$201,0)))</f>
        <v/>
      </c>
      <c r="C165" s="25" t="str">
        <f>IF($A165="","",INDEX(Empleados!$O$2:$O$201,MATCH($A165,Empleados!$A$2:$A$201,0)))</f>
        <v/>
      </c>
      <c r="D165" s="25" t="str">
        <f>IF($A165="","",INDEX(Empleados!$P$2:$P$201,MATCH($A165,Empleados!$A$2:$A$201,0)))</f>
        <v/>
      </c>
      <c r="E165" s="20" t="str">
        <f>IF($A165="","",IF($N165&lt;&gt;"ACTIVO",0,INDEX(Empleados!$M$2:$M$201,MATCH($A165,Empleados!$A$2:$A$201,0))))</f>
        <v/>
      </c>
      <c r="F165" s="20" t="str">
        <f>IF($A165="","",IF($N165&lt;&gt;"ACTIVO",0,INDEX(Empleados!$N$2:$N$201,MATCH($A165,Empleados!$A$2:$A$201,0))))</f>
        <v/>
      </c>
      <c r="G165" s="20" t="str">
        <f>IF($A165="","",IF($N165&lt;&gt;"ACTIVO",0,SUMIFS(Conceptos_Pago!$E$2:$E$100,Conceptos_Pago!$C$2:$C$100,"FIJO",Conceptos_Pago!$D$2:$D$100,"SI")))</f>
        <v/>
      </c>
      <c r="H165" s="20" t="str">
        <f>IF($A165="","",IF($N165&lt;&gt;"ACTIVO",0,SUMIFS(Movimientos!$F$2:$F$500,Movimientos!$A$2:$A$500,$B$2,Movimientos!$B$2:$B$500,$A165,Movimientos!$C$2:$C$500,"PAGO")))</f>
        <v/>
      </c>
      <c r="I165" s="20" t="str">
        <f t="shared" ref="I165:I196" si="15">IF($A165="","",SUM(E165:H165))</f>
        <v/>
      </c>
      <c r="J165" s="20" t="str">
        <f>IF($A165="","",IF($N165&lt;&gt;"ACTIVO",0,SUMIFS(Deducciones!$E$2:$E$100,Deducciones!$F$2:$F$100,"SI",Deducciones!$G$2:$G$100,"SI",Deducciones!$C$2:$C$100,"FIJO")+E165*SUMIFS(Deducciones!$E$2:$E$100,Deducciones!$F$2:$F$100,"SI",Deducciones!$G$2:$G$100,"SI",Deducciones!$C$2:$C$100,"PORCENTAJE",Deducciones!$D$2:$D$100,"SUELDO_BASE")+I165*SUMIFS(Deducciones!$E$2:$E$100,Deducciones!$F$2:$F$100,"SI",Deducciones!$G$2:$G$100,"SI",Deducciones!$C$2:$C$100,"PORCENTAJE",Deducciones!$D$2:$D$100,"TOTAL_PERCEPCIONES")))</f>
        <v/>
      </c>
      <c r="K165" s="20" t="str">
        <f>IF($A165="","",IF($N165&lt;&gt;"ACTIVO",0,SUMIFS(Movimientos!$F$2:$F$500,Movimientos!$A$2:$A$500,$B$2,Movimientos!$B$2:$B$500,$A165,Movimientos!$C$2:$C$500,"DEDUCCION")))</f>
        <v/>
      </c>
      <c r="L165" s="20" t="str">
        <f t="shared" ref="L165:L196" si="16">IF($A165="","",SUM(J165:K165))</f>
        <v/>
      </c>
      <c r="M165" s="20" t="str">
        <f t="shared" ref="M165:M196" si="17">IF($A165="","",I165-L165)</f>
        <v/>
      </c>
      <c r="N165" s="25" t="str">
        <f>IF($A165="","",INDEX(Empleados!$J$2:$J$201,MATCH($A165,Empleados!$A$2:$A$201,0)))</f>
        <v/>
      </c>
    </row>
    <row r="166" spans="1:14" x14ac:dyDescent="0.45">
      <c r="A166" s="24" t="str">
        <f>IF(ROW()-4&lt;=COUNTA(Empleados!$A$2:$A$201),INDEX(Empleados!$A$2:$A$201,ROW()-4),"")</f>
        <v/>
      </c>
      <c r="B166" s="25" t="str">
        <f>IF($A166="","",INDEX(Empleados!$E$2:$E$201,MATCH($A166,Empleados!$A$2:$A$201,0)))</f>
        <v/>
      </c>
      <c r="C166" s="25" t="str">
        <f>IF($A166="","",INDEX(Empleados!$O$2:$O$201,MATCH($A166,Empleados!$A$2:$A$201,0)))</f>
        <v/>
      </c>
      <c r="D166" s="25" t="str">
        <f>IF($A166="","",INDEX(Empleados!$P$2:$P$201,MATCH($A166,Empleados!$A$2:$A$201,0)))</f>
        <v/>
      </c>
      <c r="E166" s="20" t="str">
        <f>IF($A166="","",IF($N166&lt;&gt;"ACTIVO",0,INDEX(Empleados!$M$2:$M$201,MATCH($A166,Empleados!$A$2:$A$201,0))))</f>
        <v/>
      </c>
      <c r="F166" s="20" t="str">
        <f>IF($A166="","",IF($N166&lt;&gt;"ACTIVO",0,INDEX(Empleados!$N$2:$N$201,MATCH($A166,Empleados!$A$2:$A$201,0))))</f>
        <v/>
      </c>
      <c r="G166" s="20" t="str">
        <f>IF($A166="","",IF($N166&lt;&gt;"ACTIVO",0,SUMIFS(Conceptos_Pago!$E$2:$E$100,Conceptos_Pago!$C$2:$C$100,"FIJO",Conceptos_Pago!$D$2:$D$100,"SI")))</f>
        <v/>
      </c>
      <c r="H166" s="20" t="str">
        <f>IF($A166="","",IF($N166&lt;&gt;"ACTIVO",0,SUMIFS(Movimientos!$F$2:$F$500,Movimientos!$A$2:$A$500,$B$2,Movimientos!$B$2:$B$500,$A166,Movimientos!$C$2:$C$500,"PAGO")))</f>
        <v/>
      </c>
      <c r="I166" s="20" t="str">
        <f t="shared" si="15"/>
        <v/>
      </c>
      <c r="J166" s="20" t="str">
        <f>IF($A166="","",IF($N166&lt;&gt;"ACTIVO",0,SUMIFS(Deducciones!$E$2:$E$100,Deducciones!$F$2:$F$100,"SI",Deducciones!$G$2:$G$100,"SI",Deducciones!$C$2:$C$100,"FIJO")+E166*SUMIFS(Deducciones!$E$2:$E$100,Deducciones!$F$2:$F$100,"SI",Deducciones!$G$2:$G$100,"SI",Deducciones!$C$2:$C$100,"PORCENTAJE",Deducciones!$D$2:$D$100,"SUELDO_BASE")+I166*SUMIFS(Deducciones!$E$2:$E$100,Deducciones!$F$2:$F$100,"SI",Deducciones!$G$2:$G$100,"SI",Deducciones!$C$2:$C$100,"PORCENTAJE",Deducciones!$D$2:$D$100,"TOTAL_PERCEPCIONES")))</f>
        <v/>
      </c>
      <c r="K166" s="20" t="str">
        <f>IF($A166="","",IF($N166&lt;&gt;"ACTIVO",0,SUMIFS(Movimientos!$F$2:$F$500,Movimientos!$A$2:$A$500,$B$2,Movimientos!$B$2:$B$500,$A166,Movimientos!$C$2:$C$500,"DEDUCCION")))</f>
        <v/>
      </c>
      <c r="L166" s="20" t="str">
        <f t="shared" si="16"/>
        <v/>
      </c>
      <c r="M166" s="20" t="str">
        <f t="shared" si="17"/>
        <v/>
      </c>
      <c r="N166" s="25" t="str">
        <f>IF($A166="","",INDEX(Empleados!$J$2:$J$201,MATCH($A166,Empleados!$A$2:$A$201,0)))</f>
        <v/>
      </c>
    </row>
    <row r="167" spans="1:14" x14ac:dyDescent="0.45">
      <c r="A167" s="24" t="str">
        <f>IF(ROW()-4&lt;=COUNTA(Empleados!$A$2:$A$201),INDEX(Empleados!$A$2:$A$201,ROW()-4),"")</f>
        <v/>
      </c>
      <c r="B167" s="25" t="str">
        <f>IF($A167="","",INDEX(Empleados!$E$2:$E$201,MATCH($A167,Empleados!$A$2:$A$201,0)))</f>
        <v/>
      </c>
      <c r="C167" s="25" t="str">
        <f>IF($A167="","",INDEX(Empleados!$O$2:$O$201,MATCH($A167,Empleados!$A$2:$A$201,0)))</f>
        <v/>
      </c>
      <c r="D167" s="25" t="str">
        <f>IF($A167="","",INDEX(Empleados!$P$2:$P$201,MATCH($A167,Empleados!$A$2:$A$201,0)))</f>
        <v/>
      </c>
      <c r="E167" s="20" t="str">
        <f>IF($A167="","",IF($N167&lt;&gt;"ACTIVO",0,INDEX(Empleados!$M$2:$M$201,MATCH($A167,Empleados!$A$2:$A$201,0))))</f>
        <v/>
      </c>
      <c r="F167" s="20" t="str">
        <f>IF($A167="","",IF($N167&lt;&gt;"ACTIVO",0,INDEX(Empleados!$N$2:$N$201,MATCH($A167,Empleados!$A$2:$A$201,0))))</f>
        <v/>
      </c>
      <c r="G167" s="20" t="str">
        <f>IF($A167="","",IF($N167&lt;&gt;"ACTIVO",0,SUMIFS(Conceptos_Pago!$E$2:$E$100,Conceptos_Pago!$C$2:$C$100,"FIJO",Conceptos_Pago!$D$2:$D$100,"SI")))</f>
        <v/>
      </c>
      <c r="H167" s="20" t="str">
        <f>IF($A167="","",IF($N167&lt;&gt;"ACTIVO",0,SUMIFS(Movimientos!$F$2:$F$500,Movimientos!$A$2:$A$500,$B$2,Movimientos!$B$2:$B$500,$A167,Movimientos!$C$2:$C$500,"PAGO")))</f>
        <v/>
      </c>
      <c r="I167" s="20" t="str">
        <f t="shared" si="15"/>
        <v/>
      </c>
      <c r="J167" s="20" t="str">
        <f>IF($A167="","",IF($N167&lt;&gt;"ACTIVO",0,SUMIFS(Deducciones!$E$2:$E$100,Deducciones!$F$2:$F$100,"SI",Deducciones!$G$2:$G$100,"SI",Deducciones!$C$2:$C$100,"FIJO")+E167*SUMIFS(Deducciones!$E$2:$E$100,Deducciones!$F$2:$F$100,"SI",Deducciones!$G$2:$G$100,"SI",Deducciones!$C$2:$C$100,"PORCENTAJE",Deducciones!$D$2:$D$100,"SUELDO_BASE")+I167*SUMIFS(Deducciones!$E$2:$E$100,Deducciones!$F$2:$F$100,"SI",Deducciones!$G$2:$G$100,"SI",Deducciones!$C$2:$C$100,"PORCENTAJE",Deducciones!$D$2:$D$100,"TOTAL_PERCEPCIONES")))</f>
        <v/>
      </c>
      <c r="K167" s="20" t="str">
        <f>IF($A167="","",IF($N167&lt;&gt;"ACTIVO",0,SUMIFS(Movimientos!$F$2:$F$500,Movimientos!$A$2:$A$500,$B$2,Movimientos!$B$2:$B$500,$A167,Movimientos!$C$2:$C$500,"DEDUCCION")))</f>
        <v/>
      </c>
      <c r="L167" s="20" t="str">
        <f t="shared" si="16"/>
        <v/>
      </c>
      <c r="M167" s="20" t="str">
        <f t="shared" si="17"/>
        <v/>
      </c>
      <c r="N167" s="25" t="str">
        <f>IF($A167="","",INDEX(Empleados!$J$2:$J$201,MATCH($A167,Empleados!$A$2:$A$201,0)))</f>
        <v/>
      </c>
    </row>
    <row r="168" spans="1:14" x14ac:dyDescent="0.45">
      <c r="A168" s="24" t="str">
        <f>IF(ROW()-4&lt;=COUNTA(Empleados!$A$2:$A$201),INDEX(Empleados!$A$2:$A$201,ROW()-4),"")</f>
        <v/>
      </c>
      <c r="B168" s="25" t="str">
        <f>IF($A168="","",INDEX(Empleados!$E$2:$E$201,MATCH($A168,Empleados!$A$2:$A$201,0)))</f>
        <v/>
      </c>
      <c r="C168" s="25" t="str">
        <f>IF($A168="","",INDEX(Empleados!$O$2:$O$201,MATCH($A168,Empleados!$A$2:$A$201,0)))</f>
        <v/>
      </c>
      <c r="D168" s="25" t="str">
        <f>IF($A168="","",INDEX(Empleados!$P$2:$P$201,MATCH($A168,Empleados!$A$2:$A$201,0)))</f>
        <v/>
      </c>
      <c r="E168" s="20" t="str">
        <f>IF($A168="","",IF($N168&lt;&gt;"ACTIVO",0,INDEX(Empleados!$M$2:$M$201,MATCH($A168,Empleados!$A$2:$A$201,0))))</f>
        <v/>
      </c>
      <c r="F168" s="20" t="str">
        <f>IF($A168="","",IF($N168&lt;&gt;"ACTIVO",0,INDEX(Empleados!$N$2:$N$201,MATCH($A168,Empleados!$A$2:$A$201,0))))</f>
        <v/>
      </c>
      <c r="G168" s="20" t="str">
        <f>IF($A168="","",IF($N168&lt;&gt;"ACTIVO",0,SUMIFS(Conceptos_Pago!$E$2:$E$100,Conceptos_Pago!$C$2:$C$100,"FIJO",Conceptos_Pago!$D$2:$D$100,"SI")))</f>
        <v/>
      </c>
      <c r="H168" s="20" t="str">
        <f>IF($A168="","",IF($N168&lt;&gt;"ACTIVO",0,SUMIFS(Movimientos!$F$2:$F$500,Movimientos!$A$2:$A$500,$B$2,Movimientos!$B$2:$B$500,$A168,Movimientos!$C$2:$C$500,"PAGO")))</f>
        <v/>
      </c>
      <c r="I168" s="20" t="str">
        <f t="shared" si="15"/>
        <v/>
      </c>
      <c r="J168" s="20" t="str">
        <f>IF($A168="","",IF($N168&lt;&gt;"ACTIVO",0,SUMIFS(Deducciones!$E$2:$E$100,Deducciones!$F$2:$F$100,"SI",Deducciones!$G$2:$G$100,"SI",Deducciones!$C$2:$C$100,"FIJO")+E168*SUMIFS(Deducciones!$E$2:$E$100,Deducciones!$F$2:$F$100,"SI",Deducciones!$G$2:$G$100,"SI",Deducciones!$C$2:$C$100,"PORCENTAJE",Deducciones!$D$2:$D$100,"SUELDO_BASE")+I168*SUMIFS(Deducciones!$E$2:$E$100,Deducciones!$F$2:$F$100,"SI",Deducciones!$G$2:$G$100,"SI",Deducciones!$C$2:$C$100,"PORCENTAJE",Deducciones!$D$2:$D$100,"TOTAL_PERCEPCIONES")))</f>
        <v/>
      </c>
      <c r="K168" s="20" t="str">
        <f>IF($A168="","",IF($N168&lt;&gt;"ACTIVO",0,SUMIFS(Movimientos!$F$2:$F$500,Movimientos!$A$2:$A$500,$B$2,Movimientos!$B$2:$B$500,$A168,Movimientos!$C$2:$C$500,"DEDUCCION")))</f>
        <v/>
      </c>
      <c r="L168" s="20" t="str">
        <f t="shared" si="16"/>
        <v/>
      </c>
      <c r="M168" s="20" t="str">
        <f t="shared" si="17"/>
        <v/>
      </c>
      <c r="N168" s="25" t="str">
        <f>IF($A168="","",INDEX(Empleados!$J$2:$J$201,MATCH($A168,Empleados!$A$2:$A$201,0)))</f>
        <v/>
      </c>
    </row>
    <row r="169" spans="1:14" x14ac:dyDescent="0.45">
      <c r="A169" s="24" t="str">
        <f>IF(ROW()-4&lt;=COUNTA(Empleados!$A$2:$A$201),INDEX(Empleados!$A$2:$A$201,ROW()-4),"")</f>
        <v/>
      </c>
      <c r="B169" s="25" t="str">
        <f>IF($A169="","",INDEX(Empleados!$E$2:$E$201,MATCH($A169,Empleados!$A$2:$A$201,0)))</f>
        <v/>
      </c>
      <c r="C169" s="25" t="str">
        <f>IF($A169="","",INDEX(Empleados!$O$2:$O$201,MATCH($A169,Empleados!$A$2:$A$201,0)))</f>
        <v/>
      </c>
      <c r="D169" s="25" t="str">
        <f>IF($A169="","",INDEX(Empleados!$P$2:$P$201,MATCH($A169,Empleados!$A$2:$A$201,0)))</f>
        <v/>
      </c>
      <c r="E169" s="20" t="str">
        <f>IF($A169="","",IF($N169&lt;&gt;"ACTIVO",0,INDEX(Empleados!$M$2:$M$201,MATCH($A169,Empleados!$A$2:$A$201,0))))</f>
        <v/>
      </c>
      <c r="F169" s="20" t="str">
        <f>IF($A169="","",IF($N169&lt;&gt;"ACTIVO",0,INDEX(Empleados!$N$2:$N$201,MATCH($A169,Empleados!$A$2:$A$201,0))))</f>
        <v/>
      </c>
      <c r="G169" s="20" t="str">
        <f>IF($A169="","",IF($N169&lt;&gt;"ACTIVO",0,SUMIFS(Conceptos_Pago!$E$2:$E$100,Conceptos_Pago!$C$2:$C$100,"FIJO",Conceptos_Pago!$D$2:$D$100,"SI")))</f>
        <v/>
      </c>
      <c r="H169" s="20" t="str">
        <f>IF($A169="","",IF($N169&lt;&gt;"ACTIVO",0,SUMIFS(Movimientos!$F$2:$F$500,Movimientos!$A$2:$A$500,$B$2,Movimientos!$B$2:$B$500,$A169,Movimientos!$C$2:$C$500,"PAGO")))</f>
        <v/>
      </c>
      <c r="I169" s="20" t="str">
        <f t="shared" si="15"/>
        <v/>
      </c>
      <c r="J169" s="20" t="str">
        <f>IF($A169="","",IF($N169&lt;&gt;"ACTIVO",0,SUMIFS(Deducciones!$E$2:$E$100,Deducciones!$F$2:$F$100,"SI",Deducciones!$G$2:$G$100,"SI",Deducciones!$C$2:$C$100,"FIJO")+E169*SUMIFS(Deducciones!$E$2:$E$100,Deducciones!$F$2:$F$100,"SI",Deducciones!$G$2:$G$100,"SI",Deducciones!$C$2:$C$100,"PORCENTAJE",Deducciones!$D$2:$D$100,"SUELDO_BASE")+I169*SUMIFS(Deducciones!$E$2:$E$100,Deducciones!$F$2:$F$100,"SI",Deducciones!$G$2:$G$100,"SI",Deducciones!$C$2:$C$100,"PORCENTAJE",Deducciones!$D$2:$D$100,"TOTAL_PERCEPCIONES")))</f>
        <v/>
      </c>
      <c r="K169" s="20" t="str">
        <f>IF($A169="","",IF($N169&lt;&gt;"ACTIVO",0,SUMIFS(Movimientos!$F$2:$F$500,Movimientos!$A$2:$A$500,$B$2,Movimientos!$B$2:$B$500,$A169,Movimientos!$C$2:$C$500,"DEDUCCION")))</f>
        <v/>
      </c>
      <c r="L169" s="20" t="str">
        <f t="shared" si="16"/>
        <v/>
      </c>
      <c r="M169" s="20" t="str">
        <f t="shared" si="17"/>
        <v/>
      </c>
      <c r="N169" s="25" t="str">
        <f>IF($A169="","",INDEX(Empleados!$J$2:$J$201,MATCH($A169,Empleados!$A$2:$A$201,0)))</f>
        <v/>
      </c>
    </row>
    <row r="170" spans="1:14" x14ac:dyDescent="0.45">
      <c r="A170" s="24" t="str">
        <f>IF(ROW()-4&lt;=COUNTA(Empleados!$A$2:$A$201),INDEX(Empleados!$A$2:$A$201,ROW()-4),"")</f>
        <v/>
      </c>
      <c r="B170" s="25" t="str">
        <f>IF($A170="","",INDEX(Empleados!$E$2:$E$201,MATCH($A170,Empleados!$A$2:$A$201,0)))</f>
        <v/>
      </c>
      <c r="C170" s="25" t="str">
        <f>IF($A170="","",INDEX(Empleados!$O$2:$O$201,MATCH($A170,Empleados!$A$2:$A$201,0)))</f>
        <v/>
      </c>
      <c r="D170" s="25" t="str">
        <f>IF($A170="","",INDEX(Empleados!$P$2:$P$201,MATCH($A170,Empleados!$A$2:$A$201,0)))</f>
        <v/>
      </c>
      <c r="E170" s="20" t="str">
        <f>IF($A170="","",IF($N170&lt;&gt;"ACTIVO",0,INDEX(Empleados!$M$2:$M$201,MATCH($A170,Empleados!$A$2:$A$201,0))))</f>
        <v/>
      </c>
      <c r="F170" s="20" t="str">
        <f>IF($A170="","",IF($N170&lt;&gt;"ACTIVO",0,INDEX(Empleados!$N$2:$N$201,MATCH($A170,Empleados!$A$2:$A$201,0))))</f>
        <v/>
      </c>
      <c r="G170" s="20" t="str">
        <f>IF($A170="","",IF($N170&lt;&gt;"ACTIVO",0,SUMIFS(Conceptos_Pago!$E$2:$E$100,Conceptos_Pago!$C$2:$C$100,"FIJO",Conceptos_Pago!$D$2:$D$100,"SI")))</f>
        <v/>
      </c>
      <c r="H170" s="20" t="str">
        <f>IF($A170="","",IF($N170&lt;&gt;"ACTIVO",0,SUMIFS(Movimientos!$F$2:$F$500,Movimientos!$A$2:$A$500,$B$2,Movimientos!$B$2:$B$500,$A170,Movimientos!$C$2:$C$500,"PAGO")))</f>
        <v/>
      </c>
      <c r="I170" s="20" t="str">
        <f t="shared" si="15"/>
        <v/>
      </c>
      <c r="J170" s="20" t="str">
        <f>IF($A170="","",IF($N170&lt;&gt;"ACTIVO",0,SUMIFS(Deducciones!$E$2:$E$100,Deducciones!$F$2:$F$100,"SI",Deducciones!$G$2:$G$100,"SI",Deducciones!$C$2:$C$100,"FIJO")+E170*SUMIFS(Deducciones!$E$2:$E$100,Deducciones!$F$2:$F$100,"SI",Deducciones!$G$2:$G$100,"SI",Deducciones!$C$2:$C$100,"PORCENTAJE",Deducciones!$D$2:$D$100,"SUELDO_BASE")+I170*SUMIFS(Deducciones!$E$2:$E$100,Deducciones!$F$2:$F$100,"SI",Deducciones!$G$2:$G$100,"SI",Deducciones!$C$2:$C$100,"PORCENTAJE",Deducciones!$D$2:$D$100,"TOTAL_PERCEPCIONES")))</f>
        <v/>
      </c>
      <c r="K170" s="20" t="str">
        <f>IF($A170="","",IF($N170&lt;&gt;"ACTIVO",0,SUMIFS(Movimientos!$F$2:$F$500,Movimientos!$A$2:$A$500,$B$2,Movimientos!$B$2:$B$500,$A170,Movimientos!$C$2:$C$500,"DEDUCCION")))</f>
        <v/>
      </c>
      <c r="L170" s="20" t="str">
        <f t="shared" si="16"/>
        <v/>
      </c>
      <c r="M170" s="20" t="str">
        <f t="shared" si="17"/>
        <v/>
      </c>
      <c r="N170" s="25" t="str">
        <f>IF($A170="","",INDEX(Empleados!$J$2:$J$201,MATCH($A170,Empleados!$A$2:$A$201,0)))</f>
        <v/>
      </c>
    </row>
    <row r="171" spans="1:14" x14ac:dyDescent="0.45">
      <c r="A171" s="24" t="str">
        <f>IF(ROW()-4&lt;=COUNTA(Empleados!$A$2:$A$201),INDEX(Empleados!$A$2:$A$201,ROW()-4),"")</f>
        <v/>
      </c>
      <c r="B171" s="25" t="str">
        <f>IF($A171="","",INDEX(Empleados!$E$2:$E$201,MATCH($A171,Empleados!$A$2:$A$201,0)))</f>
        <v/>
      </c>
      <c r="C171" s="25" t="str">
        <f>IF($A171="","",INDEX(Empleados!$O$2:$O$201,MATCH($A171,Empleados!$A$2:$A$201,0)))</f>
        <v/>
      </c>
      <c r="D171" s="25" t="str">
        <f>IF($A171="","",INDEX(Empleados!$P$2:$P$201,MATCH($A171,Empleados!$A$2:$A$201,0)))</f>
        <v/>
      </c>
      <c r="E171" s="20" t="str">
        <f>IF($A171="","",IF($N171&lt;&gt;"ACTIVO",0,INDEX(Empleados!$M$2:$M$201,MATCH($A171,Empleados!$A$2:$A$201,0))))</f>
        <v/>
      </c>
      <c r="F171" s="20" t="str">
        <f>IF($A171="","",IF($N171&lt;&gt;"ACTIVO",0,INDEX(Empleados!$N$2:$N$201,MATCH($A171,Empleados!$A$2:$A$201,0))))</f>
        <v/>
      </c>
      <c r="G171" s="20" t="str">
        <f>IF($A171="","",IF($N171&lt;&gt;"ACTIVO",0,SUMIFS(Conceptos_Pago!$E$2:$E$100,Conceptos_Pago!$C$2:$C$100,"FIJO",Conceptos_Pago!$D$2:$D$100,"SI")))</f>
        <v/>
      </c>
      <c r="H171" s="20" t="str">
        <f>IF($A171="","",IF($N171&lt;&gt;"ACTIVO",0,SUMIFS(Movimientos!$F$2:$F$500,Movimientos!$A$2:$A$500,$B$2,Movimientos!$B$2:$B$500,$A171,Movimientos!$C$2:$C$500,"PAGO")))</f>
        <v/>
      </c>
      <c r="I171" s="20" t="str">
        <f t="shared" si="15"/>
        <v/>
      </c>
      <c r="J171" s="20" t="str">
        <f>IF($A171="","",IF($N171&lt;&gt;"ACTIVO",0,SUMIFS(Deducciones!$E$2:$E$100,Deducciones!$F$2:$F$100,"SI",Deducciones!$G$2:$G$100,"SI",Deducciones!$C$2:$C$100,"FIJO")+E171*SUMIFS(Deducciones!$E$2:$E$100,Deducciones!$F$2:$F$100,"SI",Deducciones!$G$2:$G$100,"SI",Deducciones!$C$2:$C$100,"PORCENTAJE",Deducciones!$D$2:$D$100,"SUELDO_BASE")+I171*SUMIFS(Deducciones!$E$2:$E$100,Deducciones!$F$2:$F$100,"SI",Deducciones!$G$2:$G$100,"SI",Deducciones!$C$2:$C$100,"PORCENTAJE",Deducciones!$D$2:$D$100,"TOTAL_PERCEPCIONES")))</f>
        <v/>
      </c>
      <c r="K171" s="20" t="str">
        <f>IF($A171="","",IF($N171&lt;&gt;"ACTIVO",0,SUMIFS(Movimientos!$F$2:$F$500,Movimientos!$A$2:$A$500,$B$2,Movimientos!$B$2:$B$500,$A171,Movimientos!$C$2:$C$500,"DEDUCCION")))</f>
        <v/>
      </c>
      <c r="L171" s="20" t="str">
        <f t="shared" si="16"/>
        <v/>
      </c>
      <c r="M171" s="20" t="str">
        <f t="shared" si="17"/>
        <v/>
      </c>
      <c r="N171" s="25" t="str">
        <f>IF($A171="","",INDEX(Empleados!$J$2:$J$201,MATCH($A171,Empleados!$A$2:$A$201,0)))</f>
        <v/>
      </c>
    </row>
    <row r="172" spans="1:14" x14ac:dyDescent="0.45">
      <c r="A172" s="24" t="str">
        <f>IF(ROW()-4&lt;=COUNTA(Empleados!$A$2:$A$201),INDEX(Empleados!$A$2:$A$201,ROW()-4),"")</f>
        <v/>
      </c>
      <c r="B172" s="25" t="str">
        <f>IF($A172="","",INDEX(Empleados!$E$2:$E$201,MATCH($A172,Empleados!$A$2:$A$201,0)))</f>
        <v/>
      </c>
      <c r="C172" s="25" t="str">
        <f>IF($A172="","",INDEX(Empleados!$O$2:$O$201,MATCH($A172,Empleados!$A$2:$A$201,0)))</f>
        <v/>
      </c>
      <c r="D172" s="25" t="str">
        <f>IF($A172="","",INDEX(Empleados!$P$2:$P$201,MATCH($A172,Empleados!$A$2:$A$201,0)))</f>
        <v/>
      </c>
      <c r="E172" s="20" t="str">
        <f>IF($A172="","",IF($N172&lt;&gt;"ACTIVO",0,INDEX(Empleados!$M$2:$M$201,MATCH($A172,Empleados!$A$2:$A$201,0))))</f>
        <v/>
      </c>
      <c r="F172" s="20" t="str">
        <f>IF($A172="","",IF($N172&lt;&gt;"ACTIVO",0,INDEX(Empleados!$N$2:$N$201,MATCH($A172,Empleados!$A$2:$A$201,0))))</f>
        <v/>
      </c>
      <c r="G172" s="20" t="str">
        <f>IF($A172="","",IF($N172&lt;&gt;"ACTIVO",0,SUMIFS(Conceptos_Pago!$E$2:$E$100,Conceptos_Pago!$C$2:$C$100,"FIJO",Conceptos_Pago!$D$2:$D$100,"SI")))</f>
        <v/>
      </c>
      <c r="H172" s="20" t="str">
        <f>IF($A172="","",IF($N172&lt;&gt;"ACTIVO",0,SUMIFS(Movimientos!$F$2:$F$500,Movimientos!$A$2:$A$500,$B$2,Movimientos!$B$2:$B$500,$A172,Movimientos!$C$2:$C$500,"PAGO")))</f>
        <v/>
      </c>
      <c r="I172" s="20" t="str">
        <f t="shared" si="15"/>
        <v/>
      </c>
      <c r="J172" s="20" t="str">
        <f>IF($A172="","",IF($N172&lt;&gt;"ACTIVO",0,SUMIFS(Deducciones!$E$2:$E$100,Deducciones!$F$2:$F$100,"SI",Deducciones!$G$2:$G$100,"SI",Deducciones!$C$2:$C$100,"FIJO")+E172*SUMIFS(Deducciones!$E$2:$E$100,Deducciones!$F$2:$F$100,"SI",Deducciones!$G$2:$G$100,"SI",Deducciones!$C$2:$C$100,"PORCENTAJE",Deducciones!$D$2:$D$100,"SUELDO_BASE")+I172*SUMIFS(Deducciones!$E$2:$E$100,Deducciones!$F$2:$F$100,"SI",Deducciones!$G$2:$G$100,"SI",Deducciones!$C$2:$C$100,"PORCENTAJE",Deducciones!$D$2:$D$100,"TOTAL_PERCEPCIONES")))</f>
        <v/>
      </c>
      <c r="K172" s="20" t="str">
        <f>IF($A172="","",IF($N172&lt;&gt;"ACTIVO",0,SUMIFS(Movimientos!$F$2:$F$500,Movimientos!$A$2:$A$500,$B$2,Movimientos!$B$2:$B$500,$A172,Movimientos!$C$2:$C$500,"DEDUCCION")))</f>
        <v/>
      </c>
      <c r="L172" s="20" t="str">
        <f t="shared" si="16"/>
        <v/>
      </c>
      <c r="M172" s="20" t="str">
        <f t="shared" si="17"/>
        <v/>
      </c>
      <c r="N172" s="25" t="str">
        <f>IF($A172="","",INDEX(Empleados!$J$2:$J$201,MATCH($A172,Empleados!$A$2:$A$201,0)))</f>
        <v/>
      </c>
    </row>
    <row r="173" spans="1:14" x14ac:dyDescent="0.45">
      <c r="A173" s="24" t="str">
        <f>IF(ROW()-4&lt;=COUNTA(Empleados!$A$2:$A$201),INDEX(Empleados!$A$2:$A$201,ROW()-4),"")</f>
        <v/>
      </c>
      <c r="B173" s="25" t="str">
        <f>IF($A173="","",INDEX(Empleados!$E$2:$E$201,MATCH($A173,Empleados!$A$2:$A$201,0)))</f>
        <v/>
      </c>
      <c r="C173" s="25" t="str">
        <f>IF($A173="","",INDEX(Empleados!$O$2:$O$201,MATCH($A173,Empleados!$A$2:$A$201,0)))</f>
        <v/>
      </c>
      <c r="D173" s="25" t="str">
        <f>IF($A173="","",INDEX(Empleados!$P$2:$P$201,MATCH($A173,Empleados!$A$2:$A$201,0)))</f>
        <v/>
      </c>
      <c r="E173" s="20" t="str">
        <f>IF($A173="","",IF($N173&lt;&gt;"ACTIVO",0,INDEX(Empleados!$M$2:$M$201,MATCH($A173,Empleados!$A$2:$A$201,0))))</f>
        <v/>
      </c>
      <c r="F173" s="20" t="str">
        <f>IF($A173="","",IF($N173&lt;&gt;"ACTIVO",0,INDEX(Empleados!$N$2:$N$201,MATCH($A173,Empleados!$A$2:$A$201,0))))</f>
        <v/>
      </c>
      <c r="G173" s="20" t="str">
        <f>IF($A173="","",IF($N173&lt;&gt;"ACTIVO",0,SUMIFS(Conceptos_Pago!$E$2:$E$100,Conceptos_Pago!$C$2:$C$100,"FIJO",Conceptos_Pago!$D$2:$D$100,"SI")))</f>
        <v/>
      </c>
      <c r="H173" s="20" t="str">
        <f>IF($A173="","",IF($N173&lt;&gt;"ACTIVO",0,SUMIFS(Movimientos!$F$2:$F$500,Movimientos!$A$2:$A$500,$B$2,Movimientos!$B$2:$B$500,$A173,Movimientos!$C$2:$C$500,"PAGO")))</f>
        <v/>
      </c>
      <c r="I173" s="20" t="str">
        <f t="shared" si="15"/>
        <v/>
      </c>
      <c r="J173" s="20" t="str">
        <f>IF($A173="","",IF($N173&lt;&gt;"ACTIVO",0,SUMIFS(Deducciones!$E$2:$E$100,Deducciones!$F$2:$F$100,"SI",Deducciones!$G$2:$G$100,"SI",Deducciones!$C$2:$C$100,"FIJO")+E173*SUMIFS(Deducciones!$E$2:$E$100,Deducciones!$F$2:$F$100,"SI",Deducciones!$G$2:$G$100,"SI",Deducciones!$C$2:$C$100,"PORCENTAJE",Deducciones!$D$2:$D$100,"SUELDO_BASE")+I173*SUMIFS(Deducciones!$E$2:$E$100,Deducciones!$F$2:$F$100,"SI",Deducciones!$G$2:$G$100,"SI",Deducciones!$C$2:$C$100,"PORCENTAJE",Deducciones!$D$2:$D$100,"TOTAL_PERCEPCIONES")))</f>
        <v/>
      </c>
      <c r="K173" s="20" t="str">
        <f>IF($A173="","",IF($N173&lt;&gt;"ACTIVO",0,SUMIFS(Movimientos!$F$2:$F$500,Movimientos!$A$2:$A$500,$B$2,Movimientos!$B$2:$B$500,$A173,Movimientos!$C$2:$C$500,"DEDUCCION")))</f>
        <v/>
      </c>
      <c r="L173" s="20" t="str">
        <f t="shared" si="16"/>
        <v/>
      </c>
      <c r="M173" s="20" t="str">
        <f t="shared" si="17"/>
        <v/>
      </c>
      <c r="N173" s="25" t="str">
        <f>IF($A173="","",INDEX(Empleados!$J$2:$J$201,MATCH($A173,Empleados!$A$2:$A$201,0)))</f>
        <v/>
      </c>
    </row>
    <row r="174" spans="1:14" x14ac:dyDescent="0.45">
      <c r="A174" s="24" t="str">
        <f>IF(ROW()-4&lt;=COUNTA(Empleados!$A$2:$A$201),INDEX(Empleados!$A$2:$A$201,ROW()-4),"")</f>
        <v/>
      </c>
      <c r="B174" s="25" t="str">
        <f>IF($A174="","",INDEX(Empleados!$E$2:$E$201,MATCH($A174,Empleados!$A$2:$A$201,0)))</f>
        <v/>
      </c>
      <c r="C174" s="25" t="str">
        <f>IF($A174="","",INDEX(Empleados!$O$2:$O$201,MATCH($A174,Empleados!$A$2:$A$201,0)))</f>
        <v/>
      </c>
      <c r="D174" s="25" t="str">
        <f>IF($A174="","",INDEX(Empleados!$P$2:$P$201,MATCH($A174,Empleados!$A$2:$A$201,0)))</f>
        <v/>
      </c>
      <c r="E174" s="20" t="str">
        <f>IF($A174="","",IF($N174&lt;&gt;"ACTIVO",0,INDEX(Empleados!$M$2:$M$201,MATCH($A174,Empleados!$A$2:$A$201,0))))</f>
        <v/>
      </c>
      <c r="F174" s="20" t="str">
        <f>IF($A174="","",IF($N174&lt;&gt;"ACTIVO",0,INDEX(Empleados!$N$2:$N$201,MATCH($A174,Empleados!$A$2:$A$201,0))))</f>
        <v/>
      </c>
      <c r="G174" s="20" t="str">
        <f>IF($A174="","",IF($N174&lt;&gt;"ACTIVO",0,SUMIFS(Conceptos_Pago!$E$2:$E$100,Conceptos_Pago!$C$2:$C$100,"FIJO",Conceptos_Pago!$D$2:$D$100,"SI")))</f>
        <v/>
      </c>
      <c r="H174" s="20" t="str">
        <f>IF($A174="","",IF($N174&lt;&gt;"ACTIVO",0,SUMIFS(Movimientos!$F$2:$F$500,Movimientos!$A$2:$A$500,$B$2,Movimientos!$B$2:$B$500,$A174,Movimientos!$C$2:$C$500,"PAGO")))</f>
        <v/>
      </c>
      <c r="I174" s="20" t="str">
        <f t="shared" si="15"/>
        <v/>
      </c>
      <c r="J174" s="20" t="str">
        <f>IF($A174="","",IF($N174&lt;&gt;"ACTIVO",0,SUMIFS(Deducciones!$E$2:$E$100,Deducciones!$F$2:$F$100,"SI",Deducciones!$G$2:$G$100,"SI",Deducciones!$C$2:$C$100,"FIJO")+E174*SUMIFS(Deducciones!$E$2:$E$100,Deducciones!$F$2:$F$100,"SI",Deducciones!$G$2:$G$100,"SI",Deducciones!$C$2:$C$100,"PORCENTAJE",Deducciones!$D$2:$D$100,"SUELDO_BASE")+I174*SUMIFS(Deducciones!$E$2:$E$100,Deducciones!$F$2:$F$100,"SI",Deducciones!$G$2:$G$100,"SI",Deducciones!$C$2:$C$100,"PORCENTAJE",Deducciones!$D$2:$D$100,"TOTAL_PERCEPCIONES")))</f>
        <v/>
      </c>
      <c r="K174" s="20" t="str">
        <f>IF($A174="","",IF($N174&lt;&gt;"ACTIVO",0,SUMIFS(Movimientos!$F$2:$F$500,Movimientos!$A$2:$A$500,$B$2,Movimientos!$B$2:$B$500,$A174,Movimientos!$C$2:$C$500,"DEDUCCION")))</f>
        <v/>
      </c>
      <c r="L174" s="20" t="str">
        <f t="shared" si="16"/>
        <v/>
      </c>
      <c r="M174" s="20" t="str">
        <f t="shared" si="17"/>
        <v/>
      </c>
      <c r="N174" s="25" t="str">
        <f>IF($A174="","",INDEX(Empleados!$J$2:$J$201,MATCH($A174,Empleados!$A$2:$A$201,0)))</f>
        <v/>
      </c>
    </row>
    <row r="175" spans="1:14" x14ac:dyDescent="0.45">
      <c r="A175" s="24" t="str">
        <f>IF(ROW()-4&lt;=COUNTA(Empleados!$A$2:$A$201),INDEX(Empleados!$A$2:$A$201,ROW()-4),"")</f>
        <v/>
      </c>
      <c r="B175" s="25" t="str">
        <f>IF($A175="","",INDEX(Empleados!$E$2:$E$201,MATCH($A175,Empleados!$A$2:$A$201,0)))</f>
        <v/>
      </c>
      <c r="C175" s="25" t="str">
        <f>IF($A175="","",INDEX(Empleados!$O$2:$O$201,MATCH($A175,Empleados!$A$2:$A$201,0)))</f>
        <v/>
      </c>
      <c r="D175" s="25" t="str">
        <f>IF($A175="","",INDEX(Empleados!$P$2:$P$201,MATCH($A175,Empleados!$A$2:$A$201,0)))</f>
        <v/>
      </c>
      <c r="E175" s="20" t="str">
        <f>IF($A175="","",IF($N175&lt;&gt;"ACTIVO",0,INDEX(Empleados!$M$2:$M$201,MATCH($A175,Empleados!$A$2:$A$201,0))))</f>
        <v/>
      </c>
      <c r="F175" s="20" t="str">
        <f>IF($A175="","",IF($N175&lt;&gt;"ACTIVO",0,INDEX(Empleados!$N$2:$N$201,MATCH($A175,Empleados!$A$2:$A$201,0))))</f>
        <v/>
      </c>
      <c r="G175" s="20" t="str">
        <f>IF($A175="","",IF($N175&lt;&gt;"ACTIVO",0,SUMIFS(Conceptos_Pago!$E$2:$E$100,Conceptos_Pago!$C$2:$C$100,"FIJO",Conceptos_Pago!$D$2:$D$100,"SI")))</f>
        <v/>
      </c>
      <c r="H175" s="20" t="str">
        <f>IF($A175="","",IF($N175&lt;&gt;"ACTIVO",0,SUMIFS(Movimientos!$F$2:$F$500,Movimientos!$A$2:$A$500,$B$2,Movimientos!$B$2:$B$500,$A175,Movimientos!$C$2:$C$500,"PAGO")))</f>
        <v/>
      </c>
      <c r="I175" s="20" t="str">
        <f t="shared" si="15"/>
        <v/>
      </c>
      <c r="J175" s="20" t="str">
        <f>IF($A175="","",IF($N175&lt;&gt;"ACTIVO",0,SUMIFS(Deducciones!$E$2:$E$100,Deducciones!$F$2:$F$100,"SI",Deducciones!$G$2:$G$100,"SI",Deducciones!$C$2:$C$100,"FIJO")+E175*SUMIFS(Deducciones!$E$2:$E$100,Deducciones!$F$2:$F$100,"SI",Deducciones!$G$2:$G$100,"SI",Deducciones!$C$2:$C$100,"PORCENTAJE",Deducciones!$D$2:$D$100,"SUELDO_BASE")+I175*SUMIFS(Deducciones!$E$2:$E$100,Deducciones!$F$2:$F$100,"SI",Deducciones!$G$2:$G$100,"SI",Deducciones!$C$2:$C$100,"PORCENTAJE",Deducciones!$D$2:$D$100,"TOTAL_PERCEPCIONES")))</f>
        <v/>
      </c>
      <c r="K175" s="20" t="str">
        <f>IF($A175="","",IF($N175&lt;&gt;"ACTIVO",0,SUMIFS(Movimientos!$F$2:$F$500,Movimientos!$A$2:$A$500,$B$2,Movimientos!$B$2:$B$500,$A175,Movimientos!$C$2:$C$500,"DEDUCCION")))</f>
        <v/>
      </c>
      <c r="L175" s="20" t="str">
        <f t="shared" si="16"/>
        <v/>
      </c>
      <c r="M175" s="20" t="str">
        <f t="shared" si="17"/>
        <v/>
      </c>
      <c r="N175" s="25" t="str">
        <f>IF($A175="","",INDEX(Empleados!$J$2:$J$201,MATCH($A175,Empleados!$A$2:$A$201,0)))</f>
        <v/>
      </c>
    </row>
    <row r="176" spans="1:14" x14ac:dyDescent="0.45">
      <c r="A176" s="24" t="str">
        <f>IF(ROW()-4&lt;=COUNTA(Empleados!$A$2:$A$201),INDEX(Empleados!$A$2:$A$201,ROW()-4),"")</f>
        <v/>
      </c>
      <c r="B176" s="25" t="str">
        <f>IF($A176="","",INDEX(Empleados!$E$2:$E$201,MATCH($A176,Empleados!$A$2:$A$201,0)))</f>
        <v/>
      </c>
      <c r="C176" s="25" t="str">
        <f>IF($A176="","",INDEX(Empleados!$O$2:$O$201,MATCH($A176,Empleados!$A$2:$A$201,0)))</f>
        <v/>
      </c>
      <c r="D176" s="25" t="str">
        <f>IF($A176="","",INDEX(Empleados!$P$2:$P$201,MATCH($A176,Empleados!$A$2:$A$201,0)))</f>
        <v/>
      </c>
      <c r="E176" s="20" t="str">
        <f>IF($A176="","",IF($N176&lt;&gt;"ACTIVO",0,INDEX(Empleados!$M$2:$M$201,MATCH($A176,Empleados!$A$2:$A$201,0))))</f>
        <v/>
      </c>
      <c r="F176" s="20" t="str">
        <f>IF($A176="","",IF($N176&lt;&gt;"ACTIVO",0,INDEX(Empleados!$N$2:$N$201,MATCH($A176,Empleados!$A$2:$A$201,0))))</f>
        <v/>
      </c>
      <c r="G176" s="20" t="str">
        <f>IF($A176="","",IF($N176&lt;&gt;"ACTIVO",0,SUMIFS(Conceptos_Pago!$E$2:$E$100,Conceptos_Pago!$C$2:$C$100,"FIJO",Conceptos_Pago!$D$2:$D$100,"SI")))</f>
        <v/>
      </c>
      <c r="H176" s="20" t="str">
        <f>IF($A176="","",IF($N176&lt;&gt;"ACTIVO",0,SUMIFS(Movimientos!$F$2:$F$500,Movimientos!$A$2:$A$500,$B$2,Movimientos!$B$2:$B$500,$A176,Movimientos!$C$2:$C$500,"PAGO")))</f>
        <v/>
      </c>
      <c r="I176" s="20" t="str">
        <f t="shared" si="15"/>
        <v/>
      </c>
      <c r="J176" s="20" t="str">
        <f>IF($A176="","",IF($N176&lt;&gt;"ACTIVO",0,SUMIFS(Deducciones!$E$2:$E$100,Deducciones!$F$2:$F$100,"SI",Deducciones!$G$2:$G$100,"SI",Deducciones!$C$2:$C$100,"FIJO")+E176*SUMIFS(Deducciones!$E$2:$E$100,Deducciones!$F$2:$F$100,"SI",Deducciones!$G$2:$G$100,"SI",Deducciones!$C$2:$C$100,"PORCENTAJE",Deducciones!$D$2:$D$100,"SUELDO_BASE")+I176*SUMIFS(Deducciones!$E$2:$E$100,Deducciones!$F$2:$F$100,"SI",Deducciones!$G$2:$G$100,"SI",Deducciones!$C$2:$C$100,"PORCENTAJE",Deducciones!$D$2:$D$100,"TOTAL_PERCEPCIONES")))</f>
        <v/>
      </c>
      <c r="K176" s="20" t="str">
        <f>IF($A176="","",IF($N176&lt;&gt;"ACTIVO",0,SUMIFS(Movimientos!$F$2:$F$500,Movimientos!$A$2:$A$500,$B$2,Movimientos!$B$2:$B$500,$A176,Movimientos!$C$2:$C$500,"DEDUCCION")))</f>
        <v/>
      </c>
      <c r="L176" s="20" t="str">
        <f t="shared" si="16"/>
        <v/>
      </c>
      <c r="M176" s="20" t="str">
        <f t="shared" si="17"/>
        <v/>
      </c>
      <c r="N176" s="25" t="str">
        <f>IF($A176="","",INDEX(Empleados!$J$2:$J$201,MATCH($A176,Empleados!$A$2:$A$201,0)))</f>
        <v/>
      </c>
    </row>
    <row r="177" spans="1:14" x14ac:dyDescent="0.45">
      <c r="A177" s="24" t="str">
        <f>IF(ROW()-4&lt;=COUNTA(Empleados!$A$2:$A$201),INDEX(Empleados!$A$2:$A$201,ROW()-4),"")</f>
        <v/>
      </c>
      <c r="B177" s="25" t="str">
        <f>IF($A177="","",INDEX(Empleados!$E$2:$E$201,MATCH($A177,Empleados!$A$2:$A$201,0)))</f>
        <v/>
      </c>
      <c r="C177" s="25" t="str">
        <f>IF($A177="","",INDEX(Empleados!$O$2:$O$201,MATCH($A177,Empleados!$A$2:$A$201,0)))</f>
        <v/>
      </c>
      <c r="D177" s="25" t="str">
        <f>IF($A177="","",INDEX(Empleados!$P$2:$P$201,MATCH($A177,Empleados!$A$2:$A$201,0)))</f>
        <v/>
      </c>
      <c r="E177" s="20" t="str">
        <f>IF($A177="","",IF($N177&lt;&gt;"ACTIVO",0,INDEX(Empleados!$M$2:$M$201,MATCH($A177,Empleados!$A$2:$A$201,0))))</f>
        <v/>
      </c>
      <c r="F177" s="20" t="str">
        <f>IF($A177="","",IF($N177&lt;&gt;"ACTIVO",0,INDEX(Empleados!$N$2:$N$201,MATCH($A177,Empleados!$A$2:$A$201,0))))</f>
        <v/>
      </c>
      <c r="G177" s="20" t="str">
        <f>IF($A177="","",IF($N177&lt;&gt;"ACTIVO",0,SUMIFS(Conceptos_Pago!$E$2:$E$100,Conceptos_Pago!$C$2:$C$100,"FIJO",Conceptos_Pago!$D$2:$D$100,"SI")))</f>
        <v/>
      </c>
      <c r="H177" s="20" t="str">
        <f>IF($A177="","",IF($N177&lt;&gt;"ACTIVO",0,SUMIFS(Movimientos!$F$2:$F$500,Movimientos!$A$2:$A$500,$B$2,Movimientos!$B$2:$B$500,$A177,Movimientos!$C$2:$C$500,"PAGO")))</f>
        <v/>
      </c>
      <c r="I177" s="20" t="str">
        <f t="shared" si="15"/>
        <v/>
      </c>
      <c r="J177" s="20" t="str">
        <f>IF($A177="","",IF($N177&lt;&gt;"ACTIVO",0,SUMIFS(Deducciones!$E$2:$E$100,Deducciones!$F$2:$F$100,"SI",Deducciones!$G$2:$G$100,"SI",Deducciones!$C$2:$C$100,"FIJO")+E177*SUMIFS(Deducciones!$E$2:$E$100,Deducciones!$F$2:$F$100,"SI",Deducciones!$G$2:$G$100,"SI",Deducciones!$C$2:$C$100,"PORCENTAJE",Deducciones!$D$2:$D$100,"SUELDO_BASE")+I177*SUMIFS(Deducciones!$E$2:$E$100,Deducciones!$F$2:$F$100,"SI",Deducciones!$G$2:$G$100,"SI",Deducciones!$C$2:$C$100,"PORCENTAJE",Deducciones!$D$2:$D$100,"TOTAL_PERCEPCIONES")))</f>
        <v/>
      </c>
      <c r="K177" s="20" t="str">
        <f>IF($A177="","",IF($N177&lt;&gt;"ACTIVO",0,SUMIFS(Movimientos!$F$2:$F$500,Movimientos!$A$2:$A$500,$B$2,Movimientos!$B$2:$B$500,$A177,Movimientos!$C$2:$C$500,"DEDUCCION")))</f>
        <v/>
      </c>
      <c r="L177" s="20" t="str">
        <f t="shared" si="16"/>
        <v/>
      </c>
      <c r="M177" s="20" t="str">
        <f t="shared" si="17"/>
        <v/>
      </c>
      <c r="N177" s="25" t="str">
        <f>IF($A177="","",INDEX(Empleados!$J$2:$J$201,MATCH($A177,Empleados!$A$2:$A$201,0)))</f>
        <v/>
      </c>
    </row>
    <row r="178" spans="1:14" x14ac:dyDescent="0.45">
      <c r="A178" s="24" t="str">
        <f>IF(ROW()-4&lt;=COUNTA(Empleados!$A$2:$A$201),INDEX(Empleados!$A$2:$A$201,ROW()-4),"")</f>
        <v/>
      </c>
      <c r="B178" s="25" t="str">
        <f>IF($A178="","",INDEX(Empleados!$E$2:$E$201,MATCH($A178,Empleados!$A$2:$A$201,0)))</f>
        <v/>
      </c>
      <c r="C178" s="25" t="str">
        <f>IF($A178="","",INDEX(Empleados!$O$2:$O$201,MATCH($A178,Empleados!$A$2:$A$201,0)))</f>
        <v/>
      </c>
      <c r="D178" s="25" t="str">
        <f>IF($A178="","",INDEX(Empleados!$P$2:$P$201,MATCH($A178,Empleados!$A$2:$A$201,0)))</f>
        <v/>
      </c>
      <c r="E178" s="20" t="str">
        <f>IF($A178="","",IF($N178&lt;&gt;"ACTIVO",0,INDEX(Empleados!$M$2:$M$201,MATCH($A178,Empleados!$A$2:$A$201,0))))</f>
        <v/>
      </c>
      <c r="F178" s="20" t="str">
        <f>IF($A178="","",IF($N178&lt;&gt;"ACTIVO",0,INDEX(Empleados!$N$2:$N$201,MATCH($A178,Empleados!$A$2:$A$201,0))))</f>
        <v/>
      </c>
      <c r="G178" s="20" t="str">
        <f>IF($A178="","",IF($N178&lt;&gt;"ACTIVO",0,SUMIFS(Conceptos_Pago!$E$2:$E$100,Conceptos_Pago!$C$2:$C$100,"FIJO",Conceptos_Pago!$D$2:$D$100,"SI")))</f>
        <v/>
      </c>
      <c r="H178" s="20" t="str">
        <f>IF($A178="","",IF($N178&lt;&gt;"ACTIVO",0,SUMIFS(Movimientos!$F$2:$F$500,Movimientos!$A$2:$A$500,$B$2,Movimientos!$B$2:$B$500,$A178,Movimientos!$C$2:$C$500,"PAGO")))</f>
        <v/>
      </c>
      <c r="I178" s="20" t="str">
        <f t="shared" si="15"/>
        <v/>
      </c>
      <c r="J178" s="20" t="str">
        <f>IF($A178="","",IF($N178&lt;&gt;"ACTIVO",0,SUMIFS(Deducciones!$E$2:$E$100,Deducciones!$F$2:$F$100,"SI",Deducciones!$G$2:$G$100,"SI",Deducciones!$C$2:$C$100,"FIJO")+E178*SUMIFS(Deducciones!$E$2:$E$100,Deducciones!$F$2:$F$100,"SI",Deducciones!$G$2:$G$100,"SI",Deducciones!$C$2:$C$100,"PORCENTAJE",Deducciones!$D$2:$D$100,"SUELDO_BASE")+I178*SUMIFS(Deducciones!$E$2:$E$100,Deducciones!$F$2:$F$100,"SI",Deducciones!$G$2:$G$100,"SI",Deducciones!$C$2:$C$100,"PORCENTAJE",Deducciones!$D$2:$D$100,"TOTAL_PERCEPCIONES")))</f>
        <v/>
      </c>
      <c r="K178" s="20" t="str">
        <f>IF($A178="","",IF($N178&lt;&gt;"ACTIVO",0,SUMIFS(Movimientos!$F$2:$F$500,Movimientos!$A$2:$A$500,$B$2,Movimientos!$B$2:$B$500,$A178,Movimientos!$C$2:$C$500,"DEDUCCION")))</f>
        <v/>
      </c>
      <c r="L178" s="20" t="str">
        <f t="shared" si="16"/>
        <v/>
      </c>
      <c r="M178" s="20" t="str">
        <f t="shared" si="17"/>
        <v/>
      </c>
      <c r="N178" s="25" t="str">
        <f>IF($A178="","",INDEX(Empleados!$J$2:$J$201,MATCH($A178,Empleados!$A$2:$A$201,0)))</f>
        <v/>
      </c>
    </row>
    <row r="179" spans="1:14" x14ac:dyDescent="0.45">
      <c r="A179" s="24" t="str">
        <f>IF(ROW()-4&lt;=COUNTA(Empleados!$A$2:$A$201),INDEX(Empleados!$A$2:$A$201,ROW()-4),"")</f>
        <v/>
      </c>
      <c r="B179" s="25" t="str">
        <f>IF($A179="","",INDEX(Empleados!$E$2:$E$201,MATCH($A179,Empleados!$A$2:$A$201,0)))</f>
        <v/>
      </c>
      <c r="C179" s="25" t="str">
        <f>IF($A179="","",INDEX(Empleados!$O$2:$O$201,MATCH($A179,Empleados!$A$2:$A$201,0)))</f>
        <v/>
      </c>
      <c r="D179" s="25" t="str">
        <f>IF($A179="","",INDEX(Empleados!$P$2:$P$201,MATCH($A179,Empleados!$A$2:$A$201,0)))</f>
        <v/>
      </c>
      <c r="E179" s="20" t="str">
        <f>IF($A179="","",IF($N179&lt;&gt;"ACTIVO",0,INDEX(Empleados!$M$2:$M$201,MATCH($A179,Empleados!$A$2:$A$201,0))))</f>
        <v/>
      </c>
      <c r="F179" s="20" t="str">
        <f>IF($A179="","",IF($N179&lt;&gt;"ACTIVO",0,INDEX(Empleados!$N$2:$N$201,MATCH($A179,Empleados!$A$2:$A$201,0))))</f>
        <v/>
      </c>
      <c r="G179" s="20" t="str">
        <f>IF($A179="","",IF($N179&lt;&gt;"ACTIVO",0,SUMIFS(Conceptos_Pago!$E$2:$E$100,Conceptos_Pago!$C$2:$C$100,"FIJO",Conceptos_Pago!$D$2:$D$100,"SI")))</f>
        <v/>
      </c>
      <c r="H179" s="20" t="str">
        <f>IF($A179="","",IF($N179&lt;&gt;"ACTIVO",0,SUMIFS(Movimientos!$F$2:$F$500,Movimientos!$A$2:$A$500,$B$2,Movimientos!$B$2:$B$500,$A179,Movimientos!$C$2:$C$500,"PAGO")))</f>
        <v/>
      </c>
      <c r="I179" s="20" t="str">
        <f t="shared" si="15"/>
        <v/>
      </c>
      <c r="J179" s="20" t="str">
        <f>IF($A179="","",IF($N179&lt;&gt;"ACTIVO",0,SUMIFS(Deducciones!$E$2:$E$100,Deducciones!$F$2:$F$100,"SI",Deducciones!$G$2:$G$100,"SI",Deducciones!$C$2:$C$100,"FIJO")+E179*SUMIFS(Deducciones!$E$2:$E$100,Deducciones!$F$2:$F$100,"SI",Deducciones!$G$2:$G$100,"SI",Deducciones!$C$2:$C$100,"PORCENTAJE",Deducciones!$D$2:$D$100,"SUELDO_BASE")+I179*SUMIFS(Deducciones!$E$2:$E$100,Deducciones!$F$2:$F$100,"SI",Deducciones!$G$2:$G$100,"SI",Deducciones!$C$2:$C$100,"PORCENTAJE",Deducciones!$D$2:$D$100,"TOTAL_PERCEPCIONES")))</f>
        <v/>
      </c>
      <c r="K179" s="20" t="str">
        <f>IF($A179="","",IF($N179&lt;&gt;"ACTIVO",0,SUMIFS(Movimientos!$F$2:$F$500,Movimientos!$A$2:$A$500,$B$2,Movimientos!$B$2:$B$500,$A179,Movimientos!$C$2:$C$500,"DEDUCCION")))</f>
        <v/>
      </c>
      <c r="L179" s="20" t="str">
        <f t="shared" si="16"/>
        <v/>
      </c>
      <c r="M179" s="20" t="str">
        <f t="shared" si="17"/>
        <v/>
      </c>
      <c r="N179" s="25" t="str">
        <f>IF($A179="","",INDEX(Empleados!$J$2:$J$201,MATCH($A179,Empleados!$A$2:$A$201,0)))</f>
        <v/>
      </c>
    </row>
    <row r="180" spans="1:14" x14ac:dyDescent="0.45">
      <c r="A180" s="24" t="str">
        <f>IF(ROW()-4&lt;=COUNTA(Empleados!$A$2:$A$201),INDEX(Empleados!$A$2:$A$201,ROW()-4),"")</f>
        <v/>
      </c>
      <c r="B180" s="25" t="str">
        <f>IF($A180="","",INDEX(Empleados!$E$2:$E$201,MATCH($A180,Empleados!$A$2:$A$201,0)))</f>
        <v/>
      </c>
      <c r="C180" s="25" t="str">
        <f>IF($A180="","",INDEX(Empleados!$O$2:$O$201,MATCH($A180,Empleados!$A$2:$A$201,0)))</f>
        <v/>
      </c>
      <c r="D180" s="25" t="str">
        <f>IF($A180="","",INDEX(Empleados!$P$2:$P$201,MATCH($A180,Empleados!$A$2:$A$201,0)))</f>
        <v/>
      </c>
      <c r="E180" s="20" t="str">
        <f>IF($A180="","",IF($N180&lt;&gt;"ACTIVO",0,INDEX(Empleados!$M$2:$M$201,MATCH($A180,Empleados!$A$2:$A$201,0))))</f>
        <v/>
      </c>
      <c r="F180" s="20" t="str">
        <f>IF($A180="","",IF($N180&lt;&gt;"ACTIVO",0,INDEX(Empleados!$N$2:$N$201,MATCH($A180,Empleados!$A$2:$A$201,0))))</f>
        <v/>
      </c>
      <c r="G180" s="20" t="str">
        <f>IF($A180="","",IF($N180&lt;&gt;"ACTIVO",0,SUMIFS(Conceptos_Pago!$E$2:$E$100,Conceptos_Pago!$C$2:$C$100,"FIJO",Conceptos_Pago!$D$2:$D$100,"SI")))</f>
        <v/>
      </c>
      <c r="H180" s="20" t="str">
        <f>IF($A180="","",IF($N180&lt;&gt;"ACTIVO",0,SUMIFS(Movimientos!$F$2:$F$500,Movimientos!$A$2:$A$500,$B$2,Movimientos!$B$2:$B$500,$A180,Movimientos!$C$2:$C$500,"PAGO")))</f>
        <v/>
      </c>
      <c r="I180" s="20" t="str">
        <f t="shared" si="15"/>
        <v/>
      </c>
      <c r="J180" s="20" t="str">
        <f>IF($A180="","",IF($N180&lt;&gt;"ACTIVO",0,SUMIFS(Deducciones!$E$2:$E$100,Deducciones!$F$2:$F$100,"SI",Deducciones!$G$2:$G$100,"SI",Deducciones!$C$2:$C$100,"FIJO")+E180*SUMIFS(Deducciones!$E$2:$E$100,Deducciones!$F$2:$F$100,"SI",Deducciones!$G$2:$G$100,"SI",Deducciones!$C$2:$C$100,"PORCENTAJE",Deducciones!$D$2:$D$100,"SUELDO_BASE")+I180*SUMIFS(Deducciones!$E$2:$E$100,Deducciones!$F$2:$F$100,"SI",Deducciones!$G$2:$G$100,"SI",Deducciones!$C$2:$C$100,"PORCENTAJE",Deducciones!$D$2:$D$100,"TOTAL_PERCEPCIONES")))</f>
        <v/>
      </c>
      <c r="K180" s="20" t="str">
        <f>IF($A180="","",IF($N180&lt;&gt;"ACTIVO",0,SUMIFS(Movimientos!$F$2:$F$500,Movimientos!$A$2:$A$500,$B$2,Movimientos!$B$2:$B$500,$A180,Movimientos!$C$2:$C$500,"DEDUCCION")))</f>
        <v/>
      </c>
      <c r="L180" s="20" t="str">
        <f t="shared" si="16"/>
        <v/>
      </c>
      <c r="M180" s="20" t="str">
        <f t="shared" si="17"/>
        <v/>
      </c>
      <c r="N180" s="25" t="str">
        <f>IF($A180="","",INDEX(Empleados!$J$2:$J$201,MATCH($A180,Empleados!$A$2:$A$201,0)))</f>
        <v/>
      </c>
    </row>
    <row r="181" spans="1:14" x14ac:dyDescent="0.45">
      <c r="A181" s="24" t="str">
        <f>IF(ROW()-4&lt;=COUNTA(Empleados!$A$2:$A$201),INDEX(Empleados!$A$2:$A$201,ROW()-4),"")</f>
        <v/>
      </c>
      <c r="B181" s="25" t="str">
        <f>IF($A181="","",INDEX(Empleados!$E$2:$E$201,MATCH($A181,Empleados!$A$2:$A$201,0)))</f>
        <v/>
      </c>
      <c r="C181" s="25" t="str">
        <f>IF($A181="","",INDEX(Empleados!$O$2:$O$201,MATCH($A181,Empleados!$A$2:$A$201,0)))</f>
        <v/>
      </c>
      <c r="D181" s="25" t="str">
        <f>IF($A181="","",INDEX(Empleados!$P$2:$P$201,MATCH($A181,Empleados!$A$2:$A$201,0)))</f>
        <v/>
      </c>
      <c r="E181" s="20" t="str">
        <f>IF($A181="","",IF($N181&lt;&gt;"ACTIVO",0,INDEX(Empleados!$M$2:$M$201,MATCH($A181,Empleados!$A$2:$A$201,0))))</f>
        <v/>
      </c>
      <c r="F181" s="20" t="str">
        <f>IF($A181="","",IF($N181&lt;&gt;"ACTIVO",0,INDEX(Empleados!$N$2:$N$201,MATCH($A181,Empleados!$A$2:$A$201,0))))</f>
        <v/>
      </c>
      <c r="G181" s="20" t="str">
        <f>IF($A181="","",IF($N181&lt;&gt;"ACTIVO",0,SUMIFS(Conceptos_Pago!$E$2:$E$100,Conceptos_Pago!$C$2:$C$100,"FIJO",Conceptos_Pago!$D$2:$D$100,"SI")))</f>
        <v/>
      </c>
      <c r="H181" s="20" t="str">
        <f>IF($A181="","",IF($N181&lt;&gt;"ACTIVO",0,SUMIFS(Movimientos!$F$2:$F$500,Movimientos!$A$2:$A$500,$B$2,Movimientos!$B$2:$B$500,$A181,Movimientos!$C$2:$C$500,"PAGO")))</f>
        <v/>
      </c>
      <c r="I181" s="20" t="str">
        <f t="shared" si="15"/>
        <v/>
      </c>
      <c r="J181" s="20" t="str">
        <f>IF($A181="","",IF($N181&lt;&gt;"ACTIVO",0,SUMIFS(Deducciones!$E$2:$E$100,Deducciones!$F$2:$F$100,"SI",Deducciones!$G$2:$G$100,"SI",Deducciones!$C$2:$C$100,"FIJO")+E181*SUMIFS(Deducciones!$E$2:$E$100,Deducciones!$F$2:$F$100,"SI",Deducciones!$G$2:$G$100,"SI",Deducciones!$C$2:$C$100,"PORCENTAJE",Deducciones!$D$2:$D$100,"SUELDO_BASE")+I181*SUMIFS(Deducciones!$E$2:$E$100,Deducciones!$F$2:$F$100,"SI",Deducciones!$G$2:$G$100,"SI",Deducciones!$C$2:$C$100,"PORCENTAJE",Deducciones!$D$2:$D$100,"TOTAL_PERCEPCIONES")))</f>
        <v/>
      </c>
      <c r="K181" s="20" t="str">
        <f>IF($A181="","",IF($N181&lt;&gt;"ACTIVO",0,SUMIFS(Movimientos!$F$2:$F$500,Movimientos!$A$2:$A$500,$B$2,Movimientos!$B$2:$B$500,$A181,Movimientos!$C$2:$C$500,"DEDUCCION")))</f>
        <v/>
      </c>
      <c r="L181" s="20" t="str">
        <f t="shared" si="16"/>
        <v/>
      </c>
      <c r="M181" s="20" t="str">
        <f t="shared" si="17"/>
        <v/>
      </c>
      <c r="N181" s="25" t="str">
        <f>IF($A181="","",INDEX(Empleados!$J$2:$J$201,MATCH($A181,Empleados!$A$2:$A$201,0)))</f>
        <v/>
      </c>
    </row>
    <row r="182" spans="1:14" x14ac:dyDescent="0.45">
      <c r="A182" s="24" t="str">
        <f>IF(ROW()-4&lt;=COUNTA(Empleados!$A$2:$A$201),INDEX(Empleados!$A$2:$A$201,ROW()-4),"")</f>
        <v/>
      </c>
      <c r="B182" s="25" t="str">
        <f>IF($A182="","",INDEX(Empleados!$E$2:$E$201,MATCH($A182,Empleados!$A$2:$A$201,0)))</f>
        <v/>
      </c>
      <c r="C182" s="25" t="str">
        <f>IF($A182="","",INDEX(Empleados!$O$2:$O$201,MATCH($A182,Empleados!$A$2:$A$201,0)))</f>
        <v/>
      </c>
      <c r="D182" s="25" t="str">
        <f>IF($A182="","",INDEX(Empleados!$P$2:$P$201,MATCH($A182,Empleados!$A$2:$A$201,0)))</f>
        <v/>
      </c>
      <c r="E182" s="20" t="str">
        <f>IF($A182="","",IF($N182&lt;&gt;"ACTIVO",0,INDEX(Empleados!$M$2:$M$201,MATCH($A182,Empleados!$A$2:$A$201,0))))</f>
        <v/>
      </c>
      <c r="F182" s="20" t="str">
        <f>IF($A182="","",IF($N182&lt;&gt;"ACTIVO",0,INDEX(Empleados!$N$2:$N$201,MATCH($A182,Empleados!$A$2:$A$201,0))))</f>
        <v/>
      </c>
      <c r="G182" s="20" t="str">
        <f>IF($A182="","",IF($N182&lt;&gt;"ACTIVO",0,SUMIFS(Conceptos_Pago!$E$2:$E$100,Conceptos_Pago!$C$2:$C$100,"FIJO",Conceptos_Pago!$D$2:$D$100,"SI")))</f>
        <v/>
      </c>
      <c r="H182" s="20" t="str">
        <f>IF($A182="","",IF($N182&lt;&gt;"ACTIVO",0,SUMIFS(Movimientos!$F$2:$F$500,Movimientos!$A$2:$A$500,$B$2,Movimientos!$B$2:$B$500,$A182,Movimientos!$C$2:$C$500,"PAGO")))</f>
        <v/>
      </c>
      <c r="I182" s="20" t="str">
        <f t="shared" si="15"/>
        <v/>
      </c>
      <c r="J182" s="20" t="str">
        <f>IF($A182="","",IF($N182&lt;&gt;"ACTIVO",0,SUMIFS(Deducciones!$E$2:$E$100,Deducciones!$F$2:$F$100,"SI",Deducciones!$G$2:$G$100,"SI",Deducciones!$C$2:$C$100,"FIJO")+E182*SUMIFS(Deducciones!$E$2:$E$100,Deducciones!$F$2:$F$100,"SI",Deducciones!$G$2:$G$100,"SI",Deducciones!$C$2:$C$100,"PORCENTAJE",Deducciones!$D$2:$D$100,"SUELDO_BASE")+I182*SUMIFS(Deducciones!$E$2:$E$100,Deducciones!$F$2:$F$100,"SI",Deducciones!$G$2:$G$100,"SI",Deducciones!$C$2:$C$100,"PORCENTAJE",Deducciones!$D$2:$D$100,"TOTAL_PERCEPCIONES")))</f>
        <v/>
      </c>
      <c r="K182" s="20" t="str">
        <f>IF($A182="","",IF($N182&lt;&gt;"ACTIVO",0,SUMIFS(Movimientos!$F$2:$F$500,Movimientos!$A$2:$A$500,$B$2,Movimientos!$B$2:$B$500,$A182,Movimientos!$C$2:$C$500,"DEDUCCION")))</f>
        <v/>
      </c>
      <c r="L182" s="20" t="str">
        <f t="shared" si="16"/>
        <v/>
      </c>
      <c r="M182" s="20" t="str">
        <f t="shared" si="17"/>
        <v/>
      </c>
      <c r="N182" s="25" t="str">
        <f>IF($A182="","",INDEX(Empleados!$J$2:$J$201,MATCH($A182,Empleados!$A$2:$A$201,0)))</f>
        <v/>
      </c>
    </row>
    <row r="183" spans="1:14" x14ac:dyDescent="0.45">
      <c r="A183" s="24" t="str">
        <f>IF(ROW()-4&lt;=COUNTA(Empleados!$A$2:$A$201),INDEX(Empleados!$A$2:$A$201,ROW()-4),"")</f>
        <v/>
      </c>
      <c r="B183" s="25" t="str">
        <f>IF($A183="","",INDEX(Empleados!$E$2:$E$201,MATCH($A183,Empleados!$A$2:$A$201,0)))</f>
        <v/>
      </c>
      <c r="C183" s="25" t="str">
        <f>IF($A183="","",INDEX(Empleados!$O$2:$O$201,MATCH($A183,Empleados!$A$2:$A$201,0)))</f>
        <v/>
      </c>
      <c r="D183" s="25" t="str">
        <f>IF($A183="","",INDEX(Empleados!$P$2:$P$201,MATCH($A183,Empleados!$A$2:$A$201,0)))</f>
        <v/>
      </c>
      <c r="E183" s="20" t="str">
        <f>IF($A183="","",IF($N183&lt;&gt;"ACTIVO",0,INDEX(Empleados!$M$2:$M$201,MATCH($A183,Empleados!$A$2:$A$201,0))))</f>
        <v/>
      </c>
      <c r="F183" s="20" t="str">
        <f>IF($A183="","",IF($N183&lt;&gt;"ACTIVO",0,INDEX(Empleados!$N$2:$N$201,MATCH($A183,Empleados!$A$2:$A$201,0))))</f>
        <v/>
      </c>
      <c r="G183" s="20" t="str">
        <f>IF($A183="","",IF($N183&lt;&gt;"ACTIVO",0,SUMIFS(Conceptos_Pago!$E$2:$E$100,Conceptos_Pago!$C$2:$C$100,"FIJO",Conceptos_Pago!$D$2:$D$100,"SI")))</f>
        <v/>
      </c>
      <c r="H183" s="20" t="str">
        <f>IF($A183="","",IF($N183&lt;&gt;"ACTIVO",0,SUMIFS(Movimientos!$F$2:$F$500,Movimientos!$A$2:$A$500,$B$2,Movimientos!$B$2:$B$500,$A183,Movimientos!$C$2:$C$500,"PAGO")))</f>
        <v/>
      </c>
      <c r="I183" s="20" t="str">
        <f t="shared" si="15"/>
        <v/>
      </c>
      <c r="J183" s="20" t="str">
        <f>IF($A183="","",IF($N183&lt;&gt;"ACTIVO",0,SUMIFS(Deducciones!$E$2:$E$100,Deducciones!$F$2:$F$100,"SI",Deducciones!$G$2:$G$100,"SI",Deducciones!$C$2:$C$100,"FIJO")+E183*SUMIFS(Deducciones!$E$2:$E$100,Deducciones!$F$2:$F$100,"SI",Deducciones!$G$2:$G$100,"SI",Deducciones!$C$2:$C$100,"PORCENTAJE",Deducciones!$D$2:$D$100,"SUELDO_BASE")+I183*SUMIFS(Deducciones!$E$2:$E$100,Deducciones!$F$2:$F$100,"SI",Deducciones!$G$2:$G$100,"SI",Deducciones!$C$2:$C$100,"PORCENTAJE",Deducciones!$D$2:$D$100,"TOTAL_PERCEPCIONES")))</f>
        <v/>
      </c>
      <c r="K183" s="20" t="str">
        <f>IF($A183="","",IF($N183&lt;&gt;"ACTIVO",0,SUMIFS(Movimientos!$F$2:$F$500,Movimientos!$A$2:$A$500,$B$2,Movimientos!$B$2:$B$500,$A183,Movimientos!$C$2:$C$500,"DEDUCCION")))</f>
        <v/>
      </c>
      <c r="L183" s="20" t="str">
        <f t="shared" si="16"/>
        <v/>
      </c>
      <c r="M183" s="20" t="str">
        <f t="shared" si="17"/>
        <v/>
      </c>
      <c r="N183" s="25" t="str">
        <f>IF($A183="","",INDEX(Empleados!$J$2:$J$201,MATCH($A183,Empleados!$A$2:$A$201,0)))</f>
        <v/>
      </c>
    </row>
    <row r="184" spans="1:14" x14ac:dyDescent="0.45">
      <c r="A184" s="24" t="str">
        <f>IF(ROW()-4&lt;=COUNTA(Empleados!$A$2:$A$201),INDEX(Empleados!$A$2:$A$201,ROW()-4),"")</f>
        <v/>
      </c>
      <c r="B184" s="25" t="str">
        <f>IF($A184="","",INDEX(Empleados!$E$2:$E$201,MATCH($A184,Empleados!$A$2:$A$201,0)))</f>
        <v/>
      </c>
      <c r="C184" s="25" t="str">
        <f>IF($A184="","",INDEX(Empleados!$O$2:$O$201,MATCH($A184,Empleados!$A$2:$A$201,0)))</f>
        <v/>
      </c>
      <c r="D184" s="25" t="str">
        <f>IF($A184="","",INDEX(Empleados!$P$2:$P$201,MATCH($A184,Empleados!$A$2:$A$201,0)))</f>
        <v/>
      </c>
      <c r="E184" s="20" t="str">
        <f>IF($A184="","",IF($N184&lt;&gt;"ACTIVO",0,INDEX(Empleados!$M$2:$M$201,MATCH($A184,Empleados!$A$2:$A$201,0))))</f>
        <v/>
      </c>
      <c r="F184" s="20" t="str">
        <f>IF($A184="","",IF($N184&lt;&gt;"ACTIVO",0,INDEX(Empleados!$N$2:$N$201,MATCH($A184,Empleados!$A$2:$A$201,0))))</f>
        <v/>
      </c>
      <c r="G184" s="20" t="str">
        <f>IF($A184="","",IF($N184&lt;&gt;"ACTIVO",0,SUMIFS(Conceptos_Pago!$E$2:$E$100,Conceptos_Pago!$C$2:$C$100,"FIJO",Conceptos_Pago!$D$2:$D$100,"SI")))</f>
        <v/>
      </c>
      <c r="H184" s="20" t="str">
        <f>IF($A184="","",IF($N184&lt;&gt;"ACTIVO",0,SUMIFS(Movimientos!$F$2:$F$500,Movimientos!$A$2:$A$500,$B$2,Movimientos!$B$2:$B$500,$A184,Movimientos!$C$2:$C$500,"PAGO")))</f>
        <v/>
      </c>
      <c r="I184" s="20" t="str">
        <f t="shared" si="15"/>
        <v/>
      </c>
      <c r="J184" s="20" t="str">
        <f>IF($A184="","",IF($N184&lt;&gt;"ACTIVO",0,SUMIFS(Deducciones!$E$2:$E$100,Deducciones!$F$2:$F$100,"SI",Deducciones!$G$2:$G$100,"SI",Deducciones!$C$2:$C$100,"FIJO")+E184*SUMIFS(Deducciones!$E$2:$E$100,Deducciones!$F$2:$F$100,"SI",Deducciones!$G$2:$G$100,"SI",Deducciones!$C$2:$C$100,"PORCENTAJE",Deducciones!$D$2:$D$100,"SUELDO_BASE")+I184*SUMIFS(Deducciones!$E$2:$E$100,Deducciones!$F$2:$F$100,"SI",Deducciones!$G$2:$G$100,"SI",Deducciones!$C$2:$C$100,"PORCENTAJE",Deducciones!$D$2:$D$100,"TOTAL_PERCEPCIONES")))</f>
        <v/>
      </c>
      <c r="K184" s="20" t="str">
        <f>IF($A184="","",IF($N184&lt;&gt;"ACTIVO",0,SUMIFS(Movimientos!$F$2:$F$500,Movimientos!$A$2:$A$500,$B$2,Movimientos!$B$2:$B$500,$A184,Movimientos!$C$2:$C$500,"DEDUCCION")))</f>
        <v/>
      </c>
      <c r="L184" s="20" t="str">
        <f t="shared" si="16"/>
        <v/>
      </c>
      <c r="M184" s="20" t="str">
        <f t="shared" si="17"/>
        <v/>
      </c>
      <c r="N184" s="25" t="str">
        <f>IF($A184="","",INDEX(Empleados!$J$2:$J$201,MATCH($A184,Empleados!$A$2:$A$201,0)))</f>
        <v/>
      </c>
    </row>
    <row r="185" spans="1:14" x14ac:dyDescent="0.45">
      <c r="A185" s="24" t="str">
        <f>IF(ROW()-4&lt;=COUNTA(Empleados!$A$2:$A$201),INDEX(Empleados!$A$2:$A$201,ROW()-4),"")</f>
        <v/>
      </c>
      <c r="B185" s="25" t="str">
        <f>IF($A185="","",INDEX(Empleados!$E$2:$E$201,MATCH($A185,Empleados!$A$2:$A$201,0)))</f>
        <v/>
      </c>
      <c r="C185" s="25" t="str">
        <f>IF($A185="","",INDEX(Empleados!$O$2:$O$201,MATCH($A185,Empleados!$A$2:$A$201,0)))</f>
        <v/>
      </c>
      <c r="D185" s="25" t="str">
        <f>IF($A185="","",INDEX(Empleados!$P$2:$P$201,MATCH($A185,Empleados!$A$2:$A$201,0)))</f>
        <v/>
      </c>
      <c r="E185" s="20" t="str">
        <f>IF($A185="","",IF($N185&lt;&gt;"ACTIVO",0,INDEX(Empleados!$M$2:$M$201,MATCH($A185,Empleados!$A$2:$A$201,0))))</f>
        <v/>
      </c>
      <c r="F185" s="20" t="str">
        <f>IF($A185="","",IF($N185&lt;&gt;"ACTIVO",0,INDEX(Empleados!$N$2:$N$201,MATCH($A185,Empleados!$A$2:$A$201,0))))</f>
        <v/>
      </c>
      <c r="G185" s="20" t="str">
        <f>IF($A185="","",IF($N185&lt;&gt;"ACTIVO",0,SUMIFS(Conceptos_Pago!$E$2:$E$100,Conceptos_Pago!$C$2:$C$100,"FIJO",Conceptos_Pago!$D$2:$D$100,"SI")))</f>
        <v/>
      </c>
      <c r="H185" s="20" t="str">
        <f>IF($A185="","",IF($N185&lt;&gt;"ACTIVO",0,SUMIFS(Movimientos!$F$2:$F$500,Movimientos!$A$2:$A$500,$B$2,Movimientos!$B$2:$B$500,$A185,Movimientos!$C$2:$C$500,"PAGO")))</f>
        <v/>
      </c>
      <c r="I185" s="20" t="str">
        <f t="shared" si="15"/>
        <v/>
      </c>
      <c r="J185" s="20" t="str">
        <f>IF($A185="","",IF($N185&lt;&gt;"ACTIVO",0,SUMIFS(Deducciones!$E$2:$E$100,Deducciones!$F$2:$F$100,"SI",Deducciones!$G$2:$G$100,"SI",Deducciones!$C$2:$C$100,"FIJO")+E185*SUMIFS(Deducciones!$E$2:$E$100,Deducciones!$F$2:$F$100,"SI",Deducciones!$G$2:$G$100,"SI",Deducciones!$C$2:$C$100,"PORCENTAJE",Deducciones!$D$2:$D$100,"SUELDO_BASE")+I185*SUMIFS(Deducciones!$E$2:$E$100,Deducciones!$F$2:$F$100,"SI",Deducciones!$G$2:$G$100,"SI",Deducciones!$C$2:$C$100,"PORCENTAJE",Deducciones!$D$2:$D$100,"TOTAL_PERCEPCIONES")))</f>
        <v/>
      </c>
      <c r="K185" s="20" t="str">
        <f>IF($A185="","",IF($N185&lt;&gt;"ACTIVO",0,SUMIFS(Movimientos!$F$2:$F$500,Movimientos!$A$2:$A$500,$B$2,Movimientos!$B$2:$B$500,$A185,Movimientos!$C$2:$C$500,"DEDUCCION")))</f>
        <v/>
      </c>
      <c r="L185" s="20" t="str">
        <f t="shared" si="16"/>
        <v/>
      </c>
      <c r="M185" s="20" t="str">
        <f t="shared" si="17"/>
        <v/>
      </c>
      <c r="N185" s="25" t="str">
        <f>IF($A185="","",INDEX(Empleados!$J$2:$J$201,MATCH($A185,Empleados!$A$2:$A$201,0)))</f>
        <v/>
      </c>
    </row>
    <row r="186" spans="1:14" x14ac:dyDescent="0.45">
      <c r="A186" s="24" t="str">
        <f>IF(ROW()-4&lt;=COUNTA(Empleados!$A$2:$A$201),INDEX(Empleados!$A$2:$A$201,ROW()-4),"")</f>
        <v/>
      </c>
      <c r="B186" s="25" t="str">
        <f>IF($A186="","",INDEX(Empleados!$E$2:$E$201,MATCH($A186,Empleados!$A$2:$A$201,0)))</f>
        <v/>
      </c>
      <c r="C186" s="25" t="str">
        <f>IF($A186="","",INDEX(Empleados!$O$2:$O$201,MATCH($A186,Empleados!$A$2:$A$201,0)))</f>
        <v/>
      </c>
      <c r="D186" s="25" t="str">
        <f>IF($A186="","",INDEX(Empleados!$P$2:$P$201,MATCH($A186,Empleados!$A$2:$A$201,0)))</f>
        <v/>
      </c>
      <c r="E186" s="20" t="str">
        <f>IF($A186="","",IF($N186&lt;&gt;"ACTIVO",0,INDEX(Empleados!$M$2:$M$201,MATCH($A186,Empleados!$A$2:$A$201,0))))</f>
        <v/>
      </c>
      <c r="F186" s="20" t="str">
        <f>IF($A186="","",IF($N186&lt;&gt;"ACTIVO",0,INDEX(Empleados!$N$2:$N$201,MATCH($A186,Empleados!$A$2:$A$201,0))))</f>
        <v/>
      </c>
      <c r="G186" s="20" t="str">
        <f>IF($A186="","",IF($N186&lt;&gt;"ACTIVO",0,SUMIFS(Conceptos_Pago!$E$2:$E$100,Conceptos_Pago!$C$2:$C$100,"FIJO",Conceptos_Pago!$D$2:$D$100,"SI")))</f>
        <v/>
      </c>
      <c r="H186" s="20" t="str">
        <f>IF($A186="","",IF($N186&lt;&gt;"ACTIVO",0,SUMIFS(Movimientos!$F$2:$F$500,Movimientos!$A$2:$A$500,$B$2,Movimientos!$B$2:$B$500,$A186,Movimientos!$C$2:$C$500,"PAGO")))</f>
        <v/>
      </c>
      <c r="I186" s="20" t="str">
        <f t="shared" si="15"/>
        <v/>
      </c>
      <c r="J186" s="20" t="str">
        <f>IF($A186="","",IF($N186&lt;&gt;"ACTIVO",0,SUMIFS(Deducciones!$E$2:$E$100,Deducciones!$F$2:$F$100,"SI",Deducciones!$G$2:$G$100,"SI",Deducciones!$C$2:$C$100,"FIJO")+E186*SUMIFS(Deducciones!$E$2:$E$100,Deducciones!$F$2:$F$100,"SI",Deducciones!$G$2:$G$100,"SI",Deducciones!$C$2:$C$100,"PORCENTAJE",Deducciones!$D$2:$D$100,"SUELDO_BASE")+I186*SUMIFS(Deducciones!$E$2:$E$100,Deducciones!$F$2:$F$100,"SI",Deducciones!$G$2:$G$100,"SI",Deducciones!$C$2:$C$100,"PORCENTAJE",Deducciones!$D$2:$D$100,"TOTAL_PERCEPCIONES")))</f>
        <v/>
      </c>
      <c r="K186" s="20" t="str">
        <f>IF($A186="","",IF($N186&lt;&gt;"ACTIVO",0,SUMIFS(Movimientos!$F$2:$F$500,Movimientos!$A$2:$A$500,$B$2,Movimientos!$B$2:$B$500,$A186,Movimientos!$C$2:$C$500,"DEDUCCION")))</f>
        <v/>
      </c>
      <c r="L186" s="20" t="str">
        <f t="shared" si="16"/>
        <v/>
      </c>
      <c r="M186" s="20" t="str">
        <f t="shared" si="17"/>
        <v/>
      </c>
      <c r="N186" s="25" t="str">
        <f>IF($A186="","",INDEX(Empleados!$J$2:$J$201,MATCH($A186,Empleados!$A$2:$A$201,0)))</f>
        <v/>
      </c>
    </row>
    <row r="187" spans="1:14" x14ac:dyDescent="0.45">
      <c r="A187" s="24" t="str">
        <f>IF(ROW()-4&lt;=COUNTA(Empleados!$A$2:$A$201),INDEX(Empleados!$A$2:$A$201,ROW()-4),"")</f>
        <v/>
      </c>
      <c r="B187" s="25" t="str">
        <f>IF($A187="","",INDEX(Empleados!$E$2:$E$201,MATCH($A187,Empleados!$A$2:$A$201,0)))</f>
        <v/>
      </c>
      <c r="C187" s="25" t="str">
        <f>IF($A187="","",INDEX(Empleados!$O$2:$O$201,MATCH($A187,Empleados!$A$2:$A$201,0)))</f>
        <v/>
      </c>
      <c r="D187" s="25" t="str">
        <f>IF($A187="","",INDEX(Empleados!$P$2:$P$201,MATCH($A187,Empleados!$A$2:$A$201,0)))</f>
        <v/>
      </c>
      <c r="E187" s="20" t="str">
        <f>IF($A187="","",IF($N187&lt;&gt;"ACTIVO",0,INDEX(Empleados!$M$2:$M$201,MATCH($A187,Empleados!$A$2:$A$201,0))))</f>
        <v/>
      </c>
      <c r="F187" s="20" t="str">
        <f>IF($A187="","",IF($N187&lt;&gt;"ACTIVO",0,INDEX(Empleados!$N$2:$N$201,MATCH($A187,Empleados!$A$2:$A$201,0))))</f>
        <v/>
      </c>
      <c r="G187" s="20" t="str">
        <f>IF($A187="","",IF($N187&lt;&gt;"ACTIVO",0,SUMIFS(Conceptos_Pago!$E$2:$E$100,Conceptos_Pago!$C$2:$C$100,"FIJO",Conceptos_Pago!$D$2:$D$100,"SI")))</f>
        <v/>
      </c>
      <c r="H187" s="20" t="str">
        <f>IF($A187="","",IF($N187&lt;&gt;"ACTIVO",0,SUMIFS(Movimientos!$F$2:$F$500,Movimientos!$A$2:$A$500,$B$2,Movimientos!$B$2:$B$500,$A187,Movimientos!$C$2:$C$500,"PAGO")))</f>
        <v/>
      </c>
      <c r="I187" s="20" t="str">
        <f t="shared" si="15"/>
        <v/>
      </c>
      <c r="J187" s="20" t="str">
        <f>IF($A187="","",IF($N187&lt;&gt;"ACTIVO",0,SUMIFS(Deducciones!$E$2:$E$100,Deducciones!$F$2:$F$100,"SI",Deducciones!$G$2:$G$100,"SI",Deducciones!$C$2:$C$100,"FIJO")+E187*SUMIFS(Deducciones!$E$2:$E$100,Deducciones!$F$2:$F$100,"SI",Deducciones!$G$2:$G$100,"SI",Deducciones!$C$2:$C$100,"PORCENTAJE",Deducciones!$D$2:$D$100,"SUELDO_BASE")+I187*SUMIFS(Deducciones!$E$2:$E$100,Deducciones!$F$2:$F$100,"SI",Deducciones!$G$2:$G$100,"SI",Deducciones!$C$2:$C$100,"PORCENTAJE",Deducciones!$D$2:$D$100,"TOTAL_PERCEPCIONES")))</f>
        <v/>
      </c>
      <c r="K187" s="20" t="str">
        <f>IF($A187="","",IF($N187&lt;&gt;"ACTIVO",0,SUMIFS(Movimientos!$F$2:$F$500,Movimientos!$A$2:$A$500,$B$2,Movimientos!$B$2:$B$500,$A187,Movimientos!$C$2:$C$500,"DEDUCCION")))</f>
        <v/>
      </c>
      <c r="L187" s="20" t="str">
        <f t="shared" si="16"/>
        <v/>
      </c>
      <c r="M187" s="20" t="str">
        <f t="shared" si="17"/>
        <v/>
      </c>
      <c r="N187" s="25" t="str">
        <f>IF($A187="","",INDEX(Empleados!$J$2:$J$201,MATCH($A187,Empleados!$A$2:$A$201,0)))</f>
        <v/>
      </c>
    </row>
    <row r="188" spans="1:14" x14ac:dyDescent="0.45">
      <c r="A188" s="24" t="str">
        <f>IF(ROW()-4&lt;=COUNTA(Empleados!$A$2:$A$201),INDEX(Empleados!$A$2:$A$201,ROW()-4),"")</f>
        <v/>
      </c>
      <c r="B188" s="25" t="str">
        <f>IF($A188="","",INDEX(Empleados!$E$2:$E$201,MATCH($A188,Empleados!$A$2:$A$201,0)))</f>
        <v/>
      </c>
      <c r="C188" s="25" t="str">
        <f>IF($A188="","",INDEX(Empleados!$O$2:$O$201,MATCH($A188,Empleados!$A$2:$A$201,0)))</f>
        <v/>
      </c>
      <c r="D188" s="25" t="str">
        <f>IF($A188="","",INDEX(Empleados!$P$2:$P$201,MATCH($A188,Empleados!$A$2:$A$201,0)))</f>
        <v/>
      </c>
      <c r="E188" s="20" t="str">
        <f>IF($A188="","",IF($N188&lt;&gt;"ACTIVO",0,INDEX(Empleados!$M$2:$M$201,MATCH($A188,Empleados!$A$2:$A$201,0))))</f>
        <v/>
      </c>
      <c r="F188" s="20" t="str">
        <f>IF($A188="","",IF($N188&lt;&gt;"ACTIVO",0,INDEX(Empleados!$N$2:$N$201,MATCH($A188,Empleados!$A$2:$A$201,0))))</f>
        <v/>
      </c>
      <c r="G188" s="20" t="str">
        <f>IF($A188="","",IF($N188&lt;&gt;"ACTIVO",0,SUMIFS(Conceptos_Pago!$E$2:$E$100,Conceptos_Pago!$C$2:$C$100,"FIJO",Conceptos_Pago!$D$2:$D$100,"SI")))</f>
        <v/>
      </c>
      <c r="H188" s="20" t="str">
        <f>IF($A188="","",IF($N188&lt;&gt;"ACTIVO",0,SUMIFS(Movimientos!$F$2:$F$500,Movimientos!$A$2:$A$500,$B$2,Movimientos!$B$2:$B$500,$A188,Movimientos!$C$2:$C$500,"PAGO")))</f>
        <v/>
      </c>
      <c r="I188" s="20" t="str">
        <f t="shared" si="15"/>
        <v/>
      </c>
      <c r="J188" s="20" t="str">
        <f>IF($A188="","",IF($N188&lt;&gt;"ACTIVO",0,SUMIFS(Deducciones!$E$2:$E$100,Deducciones!$F$2:$F$100,"SI",Deducciones!$G$2:$G$100,"SI",Deducciones!$C$2:$C$100,"FIJO")+E188*SUMIFS(Deducciones!$E$2:$E$100,Deducciones!$F$2:$F$100,"SI",Deducciones!$G$2:$G$100,"SI",Deducciones!$C$2:$C$100,"PORCENTAJE",Deducciones!$D$2:$D$100,"SUELDO_BASE")+I188*SUMIFS(Deducciones!$E$2:$E$100,Deducciones!$F$2:$F$100,"SI",Deducciones!$G$2:$G$100,"SI",Deducciones!$C$2:$C$100,"PORCENTAJE",Deducciones!$D$2:$D$100,"TOTAL_PERCEPCIONES")))</f>
        <v/>
      </c>
      <c r="K188" s="20" t="str">
        <f>IF($A188="","",IF($N188&lt;&gt;"ACTIVO",0,SUMIFS(Movimientos!$F$2:$F$500,Movimientos!$A$2:$A$500,$B$2,Movimientos!$B$2:$B$500,$A188,Movimientos!$C$2:$C$500,"DEDUCCION")))</f>
        <v/>
      </c>
      <c r="L188" s="20" t="str">
        <f t="shared" si="16"/>
        <v/>
      </c>
      <c r="M188" s="20" t="str">
        <f t="shared" si="17"/>
        <v/>
      </c>
      <c r="N188" s="25" t="str">
        <f>IF($A188="","",INDEX(Empleados!$J$2:$J$201,MATCH($A188,Empleados!$A$2:$A$201,0)))</f>
        <v/>
      </c>
    </row>
    <row r="189" spans="1:14" x14ac:dyDescent="0.45">
      <c r="A189" s="24" t="str">
        <f>IF(ROW()-4&lt;=COUNTA(Empleados!$A$2:$A$201),INDEX(Empleados!$A$2:$A$201,ROW()-4),"")</f>
        <v/>
      </c>
      <c r="B189" s="25" t="str">
        <f>IF($A189="","",INDEX(Empleados!$E$2:$E$201,MATCH($A189,Empleados!$A$2:$A$201,0)))</f>
        <v/>
      </c>
      <c r="C189" s="25" t="str">
        <f>IF($A189="","",INDEX(Empleados!$O$2:$O$201,MATCH($A189,Empleados!$A$2:$A$201,0)))</f>
        <v/>
      </c>
      <c r="D189" s="25" t="str">
        <f>IF($A189="","",INDEX(Empleados!$P$2:$P$201,MATCH($A189,Empleados!$A$2:$A$201,0)))</f>
        <v/>
      </c>
      <c r="E189" s="20" t="str">
        <f>IF($A189="","",IF($N189&lt;&gt;"ACTIVO",0,INDEX(Empleados!$M$2:$M$201,MATCH($A189,Empleados!$A$2:$A$201,0))))</f>
        <v/>
      </c>
      <c r="F189" s="20" t="str">
        <f>IF($A189="","",IF($N189&lt;&gt;"ACTIVO",0,INDEX(Empleados!$N$2:$N$201,MATCH($A189,Empleados!$A$2:$A$201,0))))</f>
        <v/>
      </c>
      <c r="G189" s="20" t="str">
        <f>IF($A189="","",IF($N189&lt;&gt;"ACTIVO",0,SUMIFS(Conceptos_Pago!$E$2:$E$100,Conceptos_Pago!$C$2:$C$100,"FIJO",Conceptos_Pago!$D$2:$D$100,"SI")))</f>
        <v/>
      </c>
      <c r="H189" s="20" t="str">
        <f>IF($A189="","",IF($N189&lt;&gt;"ACTIVO",0,SUMIFS(Movimientos!$F$2:$F$500,Movimientos!$A$2:$A$500,$B$2,Movimientos!$B$2:$B$500,$A189,Movimientos!$C$2:$C$500,"PAGO")))</f>
        <v/>
      </c>
      <c r="I189" s="20" t="str">
        <f t="shared" si="15"/>
        <v/>
      </c>
      <c r="J189" s="20" t="str">
        <f>IF($A189="","",IF($N189&lt;&gt;"ACTIVO",0,SUMIFS(Deducciones!$E$2:$E$100,Deducciones!$F$2:$F$100,"SI",Deducciones!$G$2:$G$100,"SI",Deducciones!$C$2:$C$100,"FIJO")+E189*SUMIFS(Deducciones!$E$2:$E$100,Deducciones!$F$2:$F$100,"SI",Deducciones!$G$2:$G$100,"SI",Deducciones!$C$2:$C$100,"PORCENTAJE",Deducciones!$D$2:$D$100,"SUELDO_BASE")+I189*SUMIFS(Deducciones!$E$2:$E$100,Deducciones!$F$2:$F$100,"SI",Deducciones!$G$2:$G$100,"SI",Deducciones!$C$2:$C$100,"PORCENTAJE",Deducciones!$D$2:$D$100,"TOTAL_PERCEPCIONES")))</f>
        <v/>
      </c>
      <c r="K189" s="20" t="str">
        <f>IF($A189="","",IF($N189&lt;&gt;"ACTIVO",0,SUMIFS(Movimientos!$F$2:$F$500,Movimientos!$A$2:$A$500,$B$2,Movimientos!$B$2:$B$500,$A189,Movimientos!$C$2:$C$500,"DEDUCCION")))</f>
        <v/>
      </c>
      <c r="L189" s="20" t="str">
        <f t="shared" si="16"/>
        <v/>
      </c>
      <c r="M189" s="20" t="str">
        <f t="shared" si="17"/>
        <v/>
      </c>
      <c r="N189" s="25" t="str">
        <f>IF($A189="","",INDEX(Empleados!$J$2:$J$201,MATCH($A189,Empleados!$A$2:$A$201,0)))</f>
        <v/>
      </c>
    </row>
    <row r="190" spans="1:14" x14ac:dyDescent="0.45">
      <c r="A190" s="24" t="str">
        <f>IF(ROW()-4&lt;=COUNTA(Empleados!$A$2:$A$201),INDEX(Empleados!$A$2:$A$201,ROW()-4),"")</f>
        <v/>
      </c>
      <c r="B190" s="25" t="str">
        <f>IF($A190="","",INDEX(Empleados!$E$2:$E$201,MATCH($A190,Empleados!$A$2:$A$201,0)))</f>
        <v/>
      </c>
      <c r="C190" s="25" t="str">
        <f>IF($A190="","",INDEX(Empleados!$O$2:$O$201,MATCH($A190,Empleados!$A$2:$A$201,0)))</f>
        <v/>
      </c>
      <c r="D190" s="25" t="str">
        <f>IF($A190="","",INDEX(Empleados!$P$2:$P$201,MATCH($A190,Empleados!$A$2:$A$201,0)))</f>
        <v/>
      </c>
      <c r="E190" s="20" t="str">
        <f>IF($A190="","",IF($N190&lt;&gt;"ACTIVO",0,INDEX(Empleados!$M$2:$M$201,MATCH($A190,Empleados!$A$2:$A$201,0))))</f>
        <v/>
      </c>
      <c r="F190" s="20" t="str">
        <f>IF($A190="","",IF($N190&lt;&gt;"ACTIVO",0,INDEX(Empleados!$N$2:$N$201,MATCH($A190,Empleados!$A$2:$A$201,0))))</f>
        <v/>
      </c>
      <c r="G190" s="20" t="str">
        <f>IF($A190="","",IF($N190&lt;&gt;"ACTIVO",0,SUMIFS(Conceptos_Pago!$E$2:$E$100,Conceptos_Pago!$C$2:$C$100,"FIJO",Conceptos_Pago!$D$2:$D$100,"SI")))</f>
        <v/>
      </c>
      <c r="H190" s="20" t="str">
        <f>IF($A190="","",IF($N190&lt;&gt;"ACTIVO",0,SUMIFS(Movimientos!$F$2:$F$500,Movimientos!$A$2:$A$500,$B$2,Movimientos!$B$2:$B$500,$A190,Movimientos!$C$2:$C$500,"PAGO")))</f>
        <v/>
      </c>
      <c r="I190" s="20" t="str">
        <f t="shared" si="15"/>
        <v/>
      </c>
      <c r="J190" s="20" t="str">
        <f>IF($A190="","",IF($N190&lt;&gt;"ACTIVO",0,SUMIFS(Deducciones!$E$2:$E$100,Deducciones!$F$2:$F$100,"SI",Deducciones!$G$2:$G$100,"SI",Deducciones!$C$2:$C$100,"FIJO")+E190*SUMIFS(Deducciones!$E$2:$E$100,Deducciones!$F$2:$F$100,"SI",Deducciones!$G$2:$G$100,"SI",Deducciones!$C$2:$C$100,"PORCENTAJE",Deducciones!$D$2:$D$100,"SUELDO_BASE")+I190*SUMIFS(Deducciones!$E$2:$E$100,Deducciones!$F$2:$F$100,"SI",Deducciones!$G$2:$G$100,"SI",Deducciones!$C$2:$C$100,"PORCENTAJE",Deducciones!$D$2:$D$100,"TOTAL_PERCEPCIONES")))</f>
        <v/>
      </c>
      <c r="K190" s="20" t="str">
        <f>IF($A190="","",IF($N190&lt;&gt;"ACTIVO",0,SUMIFS(Movimientos!$F$2:$F$500,Movimientos!$A$2:$A$500,$B$2,Movimientos!$B$2:$B$500,$A190,Movimientos!$C$2:$C$500,"DEDUCCION")))</f>
        <v/>
      </c>
      <c r="L190" s="20" t="str">
        <f t="shared" si="16"/>
        <v/>
      </c>
      <c r="M190" s="20" t="str">
        <f t="shared" si="17"/>
        <v/>
      </c>
      <c r="N190" s="25" t="str">
        <f>IF($A190="","",INDEX(Empleados!$J$2:$J$201,MATCH($A190,Empleados!$A$2:$A$201,0)))</f>
        <v/>
      </c>
    </row>
    <row r="191" spans="1:14" x14ac:dyDescent="0.45">
      <c r="A191" s="24" t="str">
        <f>IF(ROW()-4&lt;=COUNTA(Empleados!$A$2:$A$201),INDEX(Empleados!$A$2:$A$201,ROW()-4),"")</f>
        <v/>
      </c>
      <c r="B191" s="25" t="str">
        <f>IF($A191="","",INDEX(Empleados!$E$2:$E$201,MATCH($A191,Empleados!$A$2:$A$201,0)))</f>
        <v/>
      </c>
      <c r="C191" s="25" t="str">
        <f>IF($A191="","",INDEX(Empleados!$O$2:$O$201,MATCH($A191,Empleados!$A$2:$A$201,0)))</f>
        <v/>
      </c>
      <c r="D191" s="25" t="str">
        <f>IF($A191="","",INDEX(Empleados!$P$2:$P$201,MATCH($A191,Empleados!$A$2:$A$201,0)))</f>
        <v/>
      </c>
      <c r="E191" s="20" t="str">
        <f>IF($A191="","",IF($N191&lt;&gt;"ACTIVO",0,INDEX(Empleados!$M$2:$M$201,MATCH($A191,Empleados!$A$2:$A$201,0))))</f>
        <v/>
      </c>
      <c r="F191" s="20" t="str">
        <f>IF($A191="","",IF($N191&lt;&gt;"ACTIVO",0,INDEX(Empleados!$N$2:$N$201,MATCH($A191,Empleados!$A$2:$A$201,0))))</f>
        <v/>
      </c>
      <c r="G191" s="20" t="str">
        <f>IF($A191="","",IF($N191&lt;&gt;"ACTIVO",0,SUMIFS(Conceptos_Pago!$E$2:$E$100,Conceptos_Pago!$C$2:$C$100,"FIJO",Conceptos_Pago!$D$2:$D$100,"SI")))</f>
        <v/>
      </c>
      <c r="H191" s="20" t="str">
        <f>IF($A191="","",IF($N191&lt;&gt;"ACTIVO",0,SUMIFS(Movimientos!$F$2:$F$500,Movimientos!$A$2:$A$500,$B$2,Movimientos!$B$2:$B$500,$A191,Movimientos!$C$2:$C$500,"PAGO")))</f>
        <v/>
      </c>
      <c r="I191" s="20" t="str">
        <f t="shared" si="15"/>
        <v/>
      </c>
      <c r="J191" s="20" t="str">
        <f>IF($A191="","",IF($N191&lt;&gt;"ACTIVO",0,SUMIFS(Deducciones!$E$2:$E$100,Deducciones!$F$2:$F$100,"SI",Deducciones!$G$2:$G$100,"SI",Deducciones!$C$2:$C$100,"FIJO")+E191*SUMIFS(Deducciones!$E$2:$E$100,Deducciones!$F$2:$F$100,"SI",Deducciones!$G$2:$G$100,"SI",Deducciones!$C$2:$C$100,"PORCENTAJE",Deducciones!$D$2:$D$100,"SUELDO_BASE")+I191*SUMIFS(Deducciones!$E$2:$E$100,Deducciones!$F$2:$F$100,"SI",Deducciones!$G$2:$G$100,"SI",Deducciones!$C$2:$C$100,"PORCENTAJE",Deducciones!$D$2:$D$100,"TOTAL_PERCEPCIONES")))</f>
        <v/>
      </c>
      <c r="K191" s="20" t="str">
        <f>IF($A191="","",IF($N191&lt;&gt;"ACTIVO",0,SUMIFS(Movimientos!$F$2:$F$500,Movimientos!$A$2:$A$500,$B$2,Movimientos!$B$2:$B$500,$A191,Movimientos!$C$2:$C$500,"DEDUCCION")))</f>
        <v/>
      </c>
      <c r="L191" s="20" t="str">
        <f t="shared" si="16"/>
        <v/>
      </c>
      <c r="M191" s="20" t="str">
        <f t="shared" si="17"/>
        <v/>
      </c>
      <c r="N191" s="25" t="str">
        <f>IF($A191="","",INDEX(Empleados!$J$2:$J$201,MATCH($A191,Empleados!$A$2:$A$201,0)))</f>
        <v/>
      </c>
    </row>
    <row r="192" spans="1:14" x14ac:dyDescent="0.45">
      <c r="A192" s="24" t="str">
        <f>IF(ROW()-4&lt;=COUNTA(Empleados!$A$2:$A$201),INDEX(Empleados!$A$2:$A$201,ROW()-4),"")</f>
        <v/>
      </c>
      <c r="B192" s="25" t="str">
        <f>IF($A192="","",INDEX(Empleados!$E$2:$E$201,MATCH($A192,Empleados!$A$2:$A$201,0)))</f>
        <v/>
      </c>
      <c r="C192" s="25" t="str">
        <f>IF($A192="","",INDEX(Empleados!$O$2:$O$201,MATCH($A192,Empleados!$A$2:$A$201,0)))</f>
        <v/>
      </c>
      <c r="D192" s="25" t="str">
        <f>IF($A192="","",INDEX(Empleados!$P$2:$P$201,MATCH($A192,Empleados!$A$2:$A$201,0)))</f>
        <v/>
      </c>
      <c r="E192" s="20" t="str">
        <f>IF($A192="","",IF($N192&lt;&gt;"ACTIVO",0,INDEX(Empleados!$M$2:$M$201,MATCH($A192,Empleados!$A$2:$A$201,0))))</f>
        <v/>
      </c>
      <c r="F192" s="20" t="str">
        <f>IF($A192="","",IF($N192&lt;&gt;"ACTIVO",0,INDEX(Empleados!$N$2:$N$201,MATCH($A192,Empleados!$A$2:$A$201,0))))</f>
        <v/>
      </c>
      <c r="G192" s="20" t="str">
        <f>IF($A192="","",IF($N192&lt;&gt;"ACTIVO",0,SUMIFS(Conceptos_Pago!$E$2:$E$100,Conceptos_Pago!$C$2:$C$100,"FIJO",Conceptos_Pago!$D$2:$D$100,"SI")))</f>
        <v/>
      </c>
      <c r="H192" s="20" t="str">
        <f>IF($A192="","",IF($N192&lt;&gt;"ACTIVO",0,SUMIFS(Movimientos!$F$2:$F$500,Movimientos!$A$2:$A$500,$B$2,Movimientos!$B$2:$B$500,$A192,Movimientos!$C$2:$C$500,"PAGO")))</f>
        <v/>
      </c>
      <c r="I192" s="20" t="str">
        <f t="shared" si="15"/>
        <v/>
      </c>
      <c r="J192" s="20" t="str">
        <f>IF($A192="","",IF($N192&lt;&gt;"ACTIVO",0,SUMIFS(Deducciones!$E$2:$E$100,Deducciones!$F$2:$F$100,"SI",Deducciones!$G$2:$G$100,"SI",Deducciones!$C$2:$C$100,"FIJO")+E192*SUMIFS(Deducciones!$E$2:$E$100,Deducciones!$F$2:$F$100,"SI",Deducciones!$G$2:$G$100,"SI",Deducciones!$C$2:$C$100,"PORCENTAJE",Deducciones!$D$2:$D$100,"SUELDO_BASE")+I192*SUMIFS(Deducciones!$E$2:$E$100,Deducciones!$F$2:$F$100,"SI",Deducciones!$G$2:$G$100,"SI",Deducciones!$C$2:$C$100,"PORCENTAJE",Deducciones!$D$2:$D$100,"TOTAL_PERCEPCIONES")))</f>
        <v/>
      </c>
      <c r="K192" s="20" t="str">
        <f>IF($A192="","",IF($N192&lt;&gt;"ACTIVO",0,SUMIFS(Movimientos!$F$2:$F$500,Movimientos!$A$2:$A$500,$B$2,Movimientos!$B$2:$B$500,$A192,Movimientos!$C$2:$C$500,"DEDUCCION")))</f>
        <v/>
      </c>
      <c r="L192" s="20" t="str">
        <f t="shared" si="16"/>
        <v/>
      </c>
      <c r="M192" s="20" t="str">
        <f t="shared" si="17"/>
        <v/>
      </c>
      <c r="N192" s="25" t="str">
        <f>IF($A192="","",INDEX(Empleados!$J$2:$J$201,MATCH($A192,Empleados!$A$2:$A$201,0)))</f>
        <v/>
      </c>
    </row>
    <row r="193" spans="1:14" x14ac:dyDescent="0.45">
      <c r="A193" s="24" t="str">
        <f>IF(ROW()-4&lt;=COUNTA(Empleados!$A$2:$A$201),INDEX(Empleados!$A$2:$A$201,ROW()-4),"")</f>
        <v/>
      </c>
      <c r="B193" s="25" t="str">
        <f>IF($A193="","",INDEX(Empleados!$E$2:$E$201,MATCH($A193,Empleados!$A$2:$A$201,0)))</f>
        <v/>
      </c>
      <c r="C193" s="25" t="str">
        <f>IF($A193="","",INDEX(Empleados!$O$2:$O$201,MATCH($A193,Empleados!$A$2:$A$201,0)))</f>
        <v/>
      </c>
      <c r="D193" s="25" t="str">
        <f>IF($A193="","",INDEX(Empleados!$P$2:$P$201,MATCH($A193,Empleados!$A$2:$A$201,0)))</f>
        <v/>
      </c>
      <c r="E193" s="20" t="str">
        <f>IF($A193="","",IF($N193&lt;&gt;"ACTIVO",0,INDEX(Empleados!$M$2:$M$201,MATCH($A193,Empleados!$A$2:$A$201,0))))</f>
        <v/>
      </c>
      <c r="F193" s="20" t="str">
        <f>IF($A193="","",IF($N193&lt;&gt;"ACTIVO",0,INDEX(Empleados!$N$2:$N$201,MATCH($A193,Empleados!$A$2:$A$201,0))))</f>
        <v/>
      </c>
      <c r="G193" s="20" t="str">
        <f>IF($A193="","",IF($N193&lt;&gt;"ACTIVO",0,SUMIFS(Conceptos_Pago!$E$2:$E$100,Conceptos_Pago!$C$2:$C$100,"FIJO",Conceptos_Pago!$D$2:$D$100,"SI")))</f>
        <v/>
      </c>
      <c r="H193" s="20" t="str">
        <f>IF($A193="","",IF($N193&lt;&gt;"ACTIVO",0,SUMIFS(Movimientos!$F$2:$F$500,Movimientos!$A$2:$A$500,$B$2,Movimientos!$B$2:$B$500,$A193,Movimientos!$C$2:$C$500,"PAGO")))</f>
        <v/>
      </c>
      <c r="I193" s="20" t="str">
        <f t="shared" si="15"/>
        <v/>
      </c>
      <c r="J193" s="20" t="str">
        <f>IF($A193="","",IF($N193&lt;&gt;"ACTIVO",0,SUMIFS(Deducciones!$E$2:$E$100,Deducciones!$F$2:$F$100,"SI",Deducciones!$G$2:$G$100,"SI",Deducciones!$C$2:$C$100,"FIJO")+E193*SUMIFS(Deducciones!$E$2:$E$100,Deducciones!$F$2:$F$100,"SI",Deducciones!$G$2:$G$100,"SI",Deducciones!$C$2:$C$100,"PORCENTAJE",Deducciones!$D$2:$D$100,"SUELDO_BASE")+I193*SUMIFS(Deducciones!$E$2:$E$100,Deducciones!$F$2:$F$100,"SI",Deducciones!$G$2:$G$100,"SI",Deducciones!$C$2:$C$100,"PORCENTAJE",Deducciones!$D$2:$D$100,"TOTAL_PERCEPCIONES")))</f>
        <v/>
      </c>
      <c r="K193" s="20" t="str">
        <f>IF($A193="","",IF($N193&lt;&gt;"ACTIVO",0,SUMIFS(Movimientos!$F$2:$F$500,Movimientos!$A$2:$A$500,$B$2,Movimientos!$B$2:$B$500,$A193,Movimientos!$C$2:$C$500,"DEDUCCION")))</f>
        <v/>
      </c>
      <c r="L193" s="20" t="str">
        <f t="shared" si="16"/>
        <v/>
      </c>
      <c r="M193" s="20" t="str">
        <f t="shared" si="17"/>
        <v/>
      </c>
      <c r="N193" s="25" t="str">
        <f>IF($A193="","",INDEX(Empleados!$J$2:$J$201,MATCH($A193,Empleados!$A$2:$A$201,0)))</f>
        <v/>
      </c>
    </row>
    <row r="194" spans="1:14" x14ac:dyDescent="0.45">
      <c r="A194" s="24" t="str">
        <f>IF(ROW()-4&lt;=COUNTA(Empleados!$A$2:$A$201),INDEX(Empleados!$A$2:$A$201,ROW()-4),"")</f>
        <v/>
      </c>
      <c r="B194" s="25" t="str">
        <f>IF($A194="","",INDEX(Empleados!$E$2:$E$201,MATCH($A194,Empleados!$A$2:$A$201,0)))</f>
        <v/>
      </c>
      <c r="C194" s="25" t="str">
        <f>IF($A194="","",INDEX(Empleados!$O$2:$O$201,MATCH($A194,Empleados!$A$2:$A$201,0)))</f>
        <v/>
      </c>
      <c r="D194" s="25" t="str">
        <f>IF($A194="","",INDEX(Empleados!$P$2:$P$201,MATCH($A194,Empleados!$A$2:$A$201,0)))</f>
        <v/>
      </c>
      <c r="E194" s="20" t="str">
        <f>IF($A194="","",IF($N194&lt;&gt;"ACTIVO",0,INDEX(Empleados!$M$2:$M$201,MATCH($A194,Empleados!$A$2:$A$201,0))))</f>
        <v/>
      </c>
      <c r="F194" s="20" t="str">
        <f>IF($A194="","",IF($N194&lt;&gt;"ACTIVO",0,INDEX(Empleados!$N$2:$N$201,MATCH($A194,Empleados!$A$2:$A$201,0))))</f>
        <v/>
      </c>
      <c r="G194" s="20" t="str">
        <f>IF($A194="","",IF($N194&lt;&gt;"ACTIVO",0,SUMIFS(Conceptos_Pago!$E$2:$E$100,Conceptos_Pago!$C$2:$C$100,"FIJO",Conceptos_Pago!$D$2:$D$100,"SI")))</f>
        <v/>
      </c>
      <c r="H194" s="20" t="str">
        <f>IF($A194="","",IF($N194&lt;&gt;"ACTIVO",0,SUMIFS(Movimientos!$F$2:$F$500,Movimientos!$A$2:$A$500,$B$2,Movimientos!$B$2:$B$500,$A194,Movimientos!$C$2:$C$500,"PAGO")))</f>
        <v/>
      </c>
      <c r="I194" s="20" t="str">
        <f t="shared" si="15"/>
        <v/>
      </c>
      <c r="J194" s="20" t="str">
        <f>IF($A194="","",IF($N194&lt;&gt;"ACTIVO",0,SUMIFS(Deducciones!$E$2:$E$100,Deducciones!$F$2:$F$100,"SI",Deducciones!$G$2:$G$100,"SI",Deducciones!$C$2:$C$100,"FIJO")+E194*SUMIFS(Deducciones!$E$2:$E$100,Deducciones!$F$2:$F$100,"SI",Deducciones!$G$2:$G$100,"SI",Deducciones!$C$2:$C$100,"PORCENTAJE",Deducciones!$D$2:$D$100,"SUELDO_BASE")+I194*SUMIFS(Deducciones!$E$2:$E$100,Deducciones!$F$2:$F$100,"SI",Deducciones!$G$2:$G$100,"SI",Deducciones!$C$2:$C$100,"PORCENTAJE",Deducciones!$D$2:$D$100,"TOTAL_PERCEPCIONES")))</f>
        <v/>
      </c>
      <c r="K194" s="20" t="str">
        <f>IF($A194="","",IF($N194&lt;&gt;"ACTIVO",0,SUMIFS(Movimientos!$F$2:$F$500,Movimientos!$A$2:$A$500,$B$2,Movimientos!$B$2:$B$500,$A194,Movimientos!$C$2:$C$500,"DEDUCCION")))</f>
        <v/>
      </c>
      <c r="L194" s="20" t="str">
        <f t="shared" si="16"/>
        <v/>
      </c>
      <c r="M194" s="20" t="str">
        <f t="shared" si="17"/>
        <v/>
      </c>
      <c r="N194" s="25" t="str">
        <f>IF($A194="","",INDEX(Empleados!$J$2:$J$201,MATCH($A194,Empleados!$A$2:$A$201,0)))</f>
        <v/>
      </c>
    </row>
    <row r="195" spans="1:14" x14ac:dyDescent="0.45">
      <c r="A195" s="24" t="str">
        <f>IF(ROW()-4&lt;=COUNTA(Empleados!$A$2:$A$201),INDEX(Empleados!$A$2:$A$201,ROW()-4),"")</f>
        <v/>
      </c>
      <c r="B195" s="25" t="str">
        <f>IF($A195="","",INDEX(Empleados!$E$2:$E$201,MATCH($A195,Empleados!$A$2:$A$201,0)))</f>
        <v/>
      </c>
      <c r="C195" s="25" t="str">
        <f>IF($A195="","",INDEX(Empleados!$O$2:$O$201,MATCH($A195,Empleados!$A$2:$A$201,0)))</f>
        <v/>
      </c>
      <c r="D195" s="25" t="str">
        <f>IF($A195="","",INDEX(Empleados!$P$2:$P$201,MATCH($A195,Empleados!$A$2:$A$201,0)))</f>
        <v/>
      </c>
      <c r="E195" s="20" t="str">
        <f>IF($A195="","",IF($N195&lt;&gt;"ACTIVO",0,INDEX(Empleados!$M$2:$M$201,MATCH($A195,Empleados!$A$2:$A$201,0))))</f>
        <v/>
      </c>
      <c r="F195" s="20" t="str">
        <f>IF($A195="","",IF($N195&lt;&gt;"ACTIVO",0,INDEX(Empleados!$N$2:$N$201,MATCH($A195,Empleados!$A$2:$A$201,0))))</f>
        <v/>
      </c>
      <c r="G195" s="20" t="str">
        <f>IF($A195="","",IF($N195&lt;&gt;"ACTIVO",0,SUMIFS(Conceptos_Pago!$E$2:$E$100,Conceptos_Pago!$C$2:$C$100,"FIJO",Conceptos_Pago!$D$2:$D$100,"SI")))</f>
        <v/>
      </c>
      <c r="H195" s="20" t="str">
        <f>IF($A195="","",IF($N195&lt;&gt;"ACTIVO",0,SUMIFS(Movimientos!$F$2:$F$500,Movimientos!$A$2:$A$500,$B$2,Movimientos!$B$2:$B$500,$A195,Movimientos!$C$2:$C$500,"PAGO")))</f>
        <v/>
      </c>
      <c r="I195" s="20" t="str">
        <f t="shared" si="15"/>
        <v/>
      </c>
      <c r="J195" s="20" t="str">
        <f>IF($A195="","",IF($N195&lt;&gt;"ACTIVO",0,SUMIFS(Deducciones!$E$2:$E$100,Deducciones!$F$2:$F$100,"SI",Deducciones!$G$2:$G$100,"SI",Deducciones!$C$2:$C$100,"FIJO")+E195*SUMIFS(Deducciones!$E$2:$E$100,Deducciones!$F$2:$F$100,"SI",Deducciones!$G$2:$G$100,"SI",Deducciones!$C$2:$C$100,"PORCENTAJE",Deducciones!$D$2:$D$100,"SUELDO_BASE")+I195*SUMIFS(Deducciones!$E$2:$E$100,Deducciones!$F$2:$F$100,"SI",Deducciones!$G$2:$G$100,"SI",Deducciones!$C$2:$C$100,"PORCENTAJE",Deducciones!$D$2:$D$100,"TOTAL_PERCEPCIONES")))</f>
        <v/>
      </c>
      <c r="K195" s="20" t="str">
        <f>IF($A195="","",IF($N195&lt;&gt;"ACTIVO",0,SUMIFS(Movimientos!$F$2:$F$500,Movimientos!$A$2:$A$500,$B$2,Movimientos!$B$2:$B$500,$A195,Movimientos!$C$2:$C$500,"DEDUCCION")))</f>
        <v/>
      </c>
      <c r="L195" s="20" t="str">
        <f t="shared" si="16"/>
        <v/>
      </c>
      <c r="M195" s="20" t="str">
        <f t="shared" si="17"/>
        <v/>
      </c>
      <c r="N195" s="25" t="str">
        <f>IF($A195="","",INDEX(Empleados!$J$2:$J$201,MATCH($A195,Empleados!$A$2:$A$201,0)))</f>
        <v/>
      </c>
    </row>
    <row r="196" spans="1:14" x14ac:dyDescent="0.45">
      <c r="A196" s="24" t="str">
        <f>IF(ROW()-4&lt;=COUNTA(Empleados!$A$2:$A$201),INDEX(Empleados!$A$2:$A$201,ROW()-4),"")</f>
        <v/>
      </c>
      <c r="B196" s="25" t="str">
        <f>IF($A196="","",INDEX(Empleados!$E$2:$E$201,MATCH($A196,Empleados!$A$2:$A$201,0)))</f>
        <v/>
      </c>
      <c r="C196" s="25" t="str">
        <f>IF($A196="","",INDEX(Empleados!$O$2:$O$201,MATCH($A196,Empleados!$A$2:$A$201,0)))</f>
        <v/>
      </c>
      <c r="D196" s="25" t="str">
        <f>IF($A196="","",INDEX(Empleados!$P$2:$P$201,MATCH($A196,Empleados!$A$2:$A$201,0)))</f>
        <v/>
      </c>
      <c r="E196" s="20" t="str">
        <f>IF($A196="","",IF($N196&lt;&gt;"ACTIVO",0,INDEX(Empleados!$M$2:$M$201,MATCH($A196,Empleados!$A$2:$A$201,0))))</f>
        <v/>
      </c>
      <c r="F196" s="20" t="str">
        <f>IF($A196="","",IF($N196&lt;&gt;"ACTIVO",0,INDEX(Empleados!$N$2:$N$201,MATCH($A196,Empleados!$A$2:$A$201,0))))</f>
        <v/>
      </c>
      <c r="G196" s="20" t="str">
        <f>IF($A196="","",IF($N196&lt;&gt;"ACTIVO",0,SUMIFS(Conceptos_Pago!$E$2:$E$100,Conceptos_Pago!$C$2:$C$100,"FIJO",Conceptos_Pago!$D$2:$D$100,"SI")))</f>
        <v/>
      </c>
      <c r="H196" s="20" t="str">
        <f>IF($A196="","",IF($N196&lt;&gt;"ACTIVO",0,SUMIFS(Movimientos!$F$2:$F$500,Movimientos!$A$2:$A$500,$B$2,Movimientos!$B$2:$B$500,$A196,Movimientos!$C$2:$C$500,"PAGO")))</f>
        <v/>
      </c>
      <c r="I196" s="20" t="str">
        <f t="shared" si="15"/>
        <v/>
      </c>
      <c r="J196" s="20" t="str">
        <f>IF($A196="","",IF($N196&lt;&gt;"ACTIVO",0,SUMIFS(Deducciones!$E$2:$E$100,Deducciones!$F$2:$F$100,"SI",Deducciones!$G$2:$G$100,"SI",Deducciones!$C$2:$C$100,"FIJO")+E196*SUMIFS(Deducciones!$E$2:$E$100,Deducciones!$F$2:$F$100,"SI",Deducciones!$G$2:$G$100,"SI",Deducciones!$C$2:$C$100,"PORCENTAJE",Deducciones!$D$2:$D$100,"SUELDO_BASE")+I196*SUMIFS(Deducciones!$E$2:$E$100,Deducciones!$F$2:$F$100,"SI",Deducciones!$G$2:$G$100,"SI",Deducciones!$C$2:$C$100,"PORCENTAJE",Deducciones!$D$2:$D$100,"TOTAL_PERCEPCIONES")))</f>
        <v/>
      </c>
      <c r="K196" s="20" t="str">
        <f>IF($A196="","",IF($N196&lt;&gt;"ACTIVO",0,SUMIFS(Movimientos!$F$2:$F$500,Movimientos!$A$2:$A$500,$B$2,Movimientos!$B$2:$B$500,$A196,Movimientos!$C$2:$C$500,"DEDUCCION")))</f>
        <v/>
      </c>
      <c r="L196" s="20" t="str">
        <f t="shared" si="16"/>
        <v/>
      </c>
      <c r="M196" s="20" t="str">
        <f t="shared" si="17"/>
        <v/>
      </c>
      <c r="N196" s="25" t="str">
        <f>IF($A196="","",INDEX(Empleados!$J$2:$J$201,MATCH($A196,Empleados!$A$2:$A$201,0)))</f>
        <v/>
      </c>
    </row>
    <row r="197" spans="1:14" x14ac:dyDescent="0.45">
      <c r="A197" s="24" t="str">
        <f>IF(ROW()-4&lt;=COUNTA(Empleados!$A$2:$A$201),INDEX(Empleados!$A$2:$A$201,ROW()-4),"")</f>
        <v/>
      </c>
      <c r="B197" s="25" t="str">
        <f>IF($A197="","",INDEX(Empleados!$E$2:$E$201,MATCH($A197,Empleados!$A$2:$A$201,0)))</f>
        <v/>
      </c>
      <c r="C197" s="25" t="str">
        <f>IF($A197="","",INDEX(Empleados!$O$2:$O$201,MATCH($A197,Empleados!$A$2:$A$201,0)))</f>
        <v/>
      </c>
      <c r="D197" s="25" t="str">
        <f>IF($A197="","",INDEX(Empleados!$P$2:$P$201,MATCH($A197,Empleados!$A$2:$A$201,0)))</f>
        <v/>
      </c>
      <c r="E197" s="20" t="str">
        <f>IF($A197="","",IF($N197&lt;&gt;"ACTIVO",0,INDEX(Empleados!$M$2:$M$201,MATCH($A197,Empleados!$A$2:$A$201,0))))</f>
        <v/>
      </c>
      <c r="F197" s="20" t="str">
        <f>IF($A197="","",IF($N197&lt;&gt;"ACTIVO",0,INDEX(Empleados!$N$2:$N$201,MATCH($A197,Empleados!$A$2:$A$201,0))))</f>
        <v/>
      </c>
      <c r="G197" s="20" t="str">
        <f>IF($A197="","",IF($N197&lt;&gt;"ACTIVO",0,SUMIFS(Conceptos_Pago!$E$2:$E$100,Conceptos_Pago!$C$2:$C$100,"FIJO",Conceptos_Pago!$D$2:$D$100,"SI")))</f>
        <v/>
      </c>
      <c r="H197" s="20" t="str">
        <f>IF($A197="","",IF($N197&lt;&gt;"ACTIVO",0,SUMIFS(Movimientos!$F$2:$F$500,Movimientos!$A$2:$A$500,$B$2,Movimientos!$B$2:$B$500,$A197,Movimientos!$C$2:$C$500,"PAGO")))</f>
        <v/>
      </c>
      <c r="I197" s="20" t="str">
        <f t="shared" ref="I197:I228" si="18">IF($A197="","",SUM(E197:H197))</f>
        <v/>
      </c>
      <c r="J197" s="20" t="str">
        <f>IF($A197="","",IF($N197&lt;&gt;"ACTIVO",0,SUMIFS(Deducciones!$E$2:$E$100,Deducciones!$F$2:$F$100,"SI",Deducciones!$G$2:$G$100,"SI",Deducciones!$C$2:$C$100,"FIJO")+E197*SUMIFS(Deducciones!$E$2:$E$100,Deducciones!$F$2:$F$100,"SI",Deducciones!$G$2:$G$100,"SI",Deducciones!$C$2:$C$100,"PORCENTAJE",Deducciones!$D$2:$D$100,"SUELDO_BASE")+I197*SUMIFS(Deducciones!$E$2:$E$100,Deducciones!$F$2:$F$100,"SI",Deducciones!$G$2:$G$100,"SI",Deducciones!$C$2:$C$100,"PORCENTAJE",Deducciones!$D$2:$D$100,"TOTAL_PERCEPCIONES")))</f>
        <v/>
      </c>
      <c r="K197" s="20" t="str">
        <f>IF($A197="","",IF($N197&lt;&gt;"ACTIVO",0,SUMIFS(Movimientos!$F$2:$F$500,Movimientos!$A$2:$A$500,$B$2,Movimientos!$B$2:$B$500,$A197,Movimientos!$C$2:$C$500,"DEDUCCION")))</f>
        <v/>
      </c>
      <c r="L197" s="20" t="str">
        <f t="shared" ref="L197:L228" si="19">IF($A197="","",SUM(J197:K197))</f>
        <v/>
      </c>
      <c r="M197" s="20" t="str">
        <f t="shared" ref="M197:M228" si="20">IF($A197="","",I197-L197)</f>
        <v/>
      </c>
      <c r="N197" s="25" t="str">
        <f>IF($A197="","",INDEX(Empleados!$J$2:$J$201,MATCH($A197,Empleados!$A$2:$A$201,0)))</f>
        <v/>
      </c>
    </row>
    <row r="198" spans="1:14" x14ac:dyDescent="0.45">
      <c r="A198" s="24" t="str">
        <f>IF(ROW()-4&lt;=COUNTA(Empleados!$A$2:$A$201),INDEX(Empleados!$A$2:$A$201,ROW()-4),"")</f>
        <v/>
      </c>
      <c r="B198" s="25" t="str">
        <f>IF($A198="","",INDEX(Empleados!$E$2:$E$201,MATCH($A198,Empleados!$A$2:$A$201,0)))</f>
        <v/>
      </c>
      <c r="C198" s="25" t="str">
        <f>IF($A198="","",INDEX(Empleados!$O$2:$O$201,MATCH($A198,Empleados!$A$2:$A$201,0)))</f>
        <v/>
      </c>
      <c r="D198" s="25" t="str">
        <f>IF($A198="","",INDEX(Empleados!$P$2:$P$201,MATCH($A198,Empleados!$A$2:$A$201,0)))</f>
        <v/>
      </c>
      <c r="E198" s="20" t="str">
        <f>IF($A198="","",IF($N198&lt;&gt;"ACTIVO",0,INDEX(Empleados!$M$2:$M$201,MATCH($A198,Empleados!$A$2:$A$201,0))))</f>
        <v/>
      </c>
      <c r="F198" s="20" t="str">
        <f>IF($A198="","",IF($N198&lt;&gt;"ACTIVO",0,INDEX(Empleados!$N$2:$N$201,MATCH($A198,Empleados!$A$2:$A$201,0))))</f>
        <v/>
      </c>
      <c r="G198" s="20" t="str">
        <f>IF($A198="","",IF($N198&lt;&gt;"ACTIVO",0,SUMIFS(Conceptos_Pago!$E$2:$E$100,Conceptos_Pago!$C$2:$C$100,"FIJO",Conceptos_Pago!$D$2:$D$100,"SI")))</f>
        <v/>
      </c>
      <c r="H198" s="20" t="str">
        <f>IF($A198="","",IF($N198&lt;&gt;"ACTIVO",0,SUMIFS(Movimientos!$F$2:$F$500,Movimientos!$A$2:$A$500,$B$2,Movimientos!$B$2:$B$500,$A198,Movimientos!$C$2:$C$500,"PAGO")))</f>
        <v/>
      </c>
      <c r="I198" s="20" t="str">
        <f t="shared" si="18"/>
        <v/>
      </c>
      <c r="J198" s="20" t="str">
        <f>IF($A198="","",IF($N198&lt;&gt;"ACTIVO",0,SUMIFS(Deducciones!$E$2:$E$100,Deducciones!$F$2:$F$100,"SI",Deducciones!$G$2:$G$100,"SI",Deducciones!$C$2:$C$100,"FIJO")+E198*SUMIFS(Deducciones!$E$2:$E$100,Deducciones!$F$2:$F$100,"SI",Deducciones!$G$2:$G$100,"SI",Deducciones!$C$2:$C$100,"PORCENTAJE",Deducciones!$D$2:$D$100,"SUELDO_BASE")+I198*SUMIFS(Deducciones!$E$2:$E$100,Deducciones!$F$2:$F$100,"SI",Deducciones!$G$2:$G$100,"SI",Deducciones!$C$2:$C$100,"PORCENTAJE",Deducciones!$D$2:$D$100,"TOTAL_PERCEPCIONES")))</f>
        <v/>
      </c>
      <c r="K198" s="20" t="str">
        <f>IF($A198="","",IF($N198&lt;&gt;"ACTIVO",0,SUMIFS(Movimientos!$F$2:$F$500,Movimientos!$A$2:$A$500,$B$2,Movimientos!$B$2:$B$500,$A198,Movimientos!$C$2:$C$500,"DEDUCCION")))</f>
        <v/>
      </c>
      <c r="L198" s="20" t="str">
        <f t="shared" si="19"/>
        <v/>
      </c>
      <c r="M198" s="20" t="str">
        <f t="shared" si="20"/>
        <v/>
      </c>
      <c r="N198" s="25" t="str">
        <f>IF($A198="","",INDEX(Empleados!$J$2:$J$201,MATCH($A198,Empleados!$A$2:$A$201,0)))</f>
        <v/>
      </c>
    </row>
    <row r="199" spans="1:14" x14ac:dyDescent="0.45">
      <c r="A199" s="24" t="str">
        <f>IF(ROW()-4&lt;=COUNTA(Empleados!$A$2:$A$201),INDEX(Empleados!$A$2:$A$201,ROW()-4),"")</f>
        <v/>
      </c>
      <c r="B199" s="25" t="str">
        <f>IF($A199="","",INDEX(Empleados!$E$2:$E$201,MATCH($A199,Empleados!$A$2:$A$201,0)))</f>
        <v/>
      </c>
      <c r="C199" s="25" t="str">
        <f>IF($A199="","",INDEX(Empleados!$O$2:$O$201,MATCH($A199,Empleados!$A$2:$A$201,0)))</f>
        <v/>
      </c>
      <c r="D199" s="25" t="str">
        <f>IF($A199="","",INDEX(Empleados!$P$2:$P$201,MATCH($A199,Empleados!$A$2:$A$201,0)))</f>
        <v/>
      </c>
      <c r="E199" s="20" t="str">
        <f>IF($A199="","",IF($N199&lt;&gt;"ACTIVO",0,INDEX(Empleados!$M$2:$M$201,MATCH($A199,Empleados!$A$2:$A$201,0))))</f>
        <v/>
      </c>
      <c r="F199" s="20" t="str">
        <f>IF($A199="","",IF($N199&lt;&gt;"ACTIVO",0,INDEX(Empleados!$N$2:$N$201,MATCH($A199,Empleados!$A$2:$A$201,0))))</f>
        <v/>
      </c>
      <c r="G199" s="20" t="str">
        <f>IF($A199="","",IF($N199&lt;&gt;"ACTIVO",0,SUMIFS(Conceptos_Pago!$E$2:$E$100,Conceptos_Pago!$C$2:$C$100,"FIJO",Conceptos_Pago!$D$2:$D$100,"SI")))</f>
        <v/>
      </c>
      <c r="H199" s="20" t="str">
        <f>IF($A199="","",IF($N199&lt;&gt;"ACTIVO",0,SUMIFS(Movimientos!$F$2:$F$500,Movimientos!$A$2:$A$500,$B$2,Movimientos!$B$2:$B$500,$A199,Movimientos!$C$2:$C$500,"PAGO")))</f>
        <v/>
      </c>
      <c r="I199" s="20" t="str">
        <f t="shared" si="18"/>
        <v/>
      </c>
      <c r="J199" s="20" t="str">
        <f>IF($A199="","",IF($N199&lt;&gt;"ACTIVO",0,SUMIFS(Deducciones!$E$2:$E$100,Deducciones!$F$2:$F$100,"SI",Deducciones!$G$2:$G$100,"SI",Deducciones!$C$2:$C$100,"FIJO")+E199*SUMIFS(Deducciones!$E$2:$E$100,Deducciones!$F$2:$F$100,"SI",Deducciones!$G$2:$G$100,"SI",Deducciones!$C$2:$C$100,"PORCENTAJE",Deducciones!$D$2:$D$100,"SUELDO_BASE")+I199*SUMIFS(Deducciones!$E$2:$E$100,Deducciones!$F$2:$F$100,"SI",Deducciones!$G$2:$G$100,"SI",Deducciones!$C$2:$C$100,"PORCENTAJE",Deducciones!$D$2:$D$100,"TOTAL_PERCEPCIONES")))</f>
        <v/>
      </c>
      <c r="K199" s="20" t="str">
        <f>IF($A199="","",IF($N199&lt;&gt;"ACTIVO",0,SUMIFS(Movimientos!$F$2:$F$500,Movimientos!$A$2:$A$500,$B$2,Movimientos!$B$2:$B$500,$A199,Movimientos!$C$2:$C$500,"DEDUCCION")))</f>
        <v/>
      </c>
      <c r="L199" s="20" t="str">
        <f t="shared" si="19"/>
        <v/>
      </c>
      <c r="M199" s="20" t="str">
        <f t="shared" si="20"/>
        <v/>
      </c>
      <c r="N199" s="25" t="str">
        <f>IF($A199="","",INDEX(Empleados!$J$2:$J$201,MATCH($A199,Empleados!$A$2:$A$201,0)))</f>
        <v/>
      </c>
    </row>
    <row r="200" spans="1:14" x14ac:dyDescent="0.45">
      <c r="A200" s="24" t="str">
        <f>IF(ROW()-4&lt;=COUNTA(Empleados!$A$2:$A$201),INDEX(Empleados!$A$2:$A$201,ROW()-4),"")</f>
        <v/>
      </c>
      <c r="B200" s="25" t="str">
        <f>IF($A200="","",INDEX(Empleados!$E$2:$E$201,MATCH($A200,Empleados!$A$2:$A$201,0)))</f>
        <v/>
      </c>
      <c r="C200" s="25" t="str">
        <f>IF($A200="","",INDEX(Empleados!$O$2:$O$201,MATCH($A200,Empleados!$A$2:$A$201,0)))</f>
        <v/>
      </c>
      <c r="D200" s="25" t="str">
        <f>IF($A200="","",INDEX(Empleados!$P$2:$P$201,MATCH($A200,Empleados!$A$2:$A$201,0)))</f>
        <v/>
      </c>
      <c r="E200" s="20" t="str">
        <f>IF($A200="","",IF($N200&lt;&gt;"ACTIVO",0,INDEX(Empleados!$M$2:$M$201,MATCH($A200,Empleados!$A$2:$A$201,0))))</f>
        <v/>
      </c>
      <c r="F200" s="20" t="str">
        <f>IF($A200="","",IF($N200&lt;&gt;"ACTIVO",0,INDEX(Empleados!$N$2:$N$201,MATCH($A200,Empleados!$A$2:$A$201,0))))</f>
        <v/>
      </c>
      <c r="G200" s="20" t="str">
        <f>IF($A200="","",IF($N200&lt;&gt;"ACTIVO",0,SUMIFS(Conceptos_Pago!$E$2:$E$100,Conceptos_Pago!$C$2:$C$100,"FIJO",Conceptos_Pago!$D$2:$D$100,"SI")))</f>
        <v/>
      </c>
      <c r="H200" s="20" t="str">
        <f>IF($A200="","",IF($N200&lt;&gt;"ACTIVO",0,SUMIFS(Movimientos!$F$2:$F$500,Movimientos!$A$2:$A$500,$B$2,Movimientos!$B$2:$B$500,$A200,Movimientos!$C$2:$C$500,"PAGO")))</f>
        <v/>
      </c>
      <c r="I200" s="20" t="str">
        <f t="shared" si="18"/>
        <v/>
      </c>
      <c r="J200" s="20" t="str">
        <f>IF($A200="","",IF($N200&lt;&gt;"ACTIVO",0,SUMIFS(Deducciones!$E$2:$E$100,Deducciones!$F$2:$F$100,"SI",Deducciones!$G$2:$G$100,"SI",Deducciones!$C$2:$C$100,"FIJO")+E200*SUMIFS(Deducciones!$E$2:$E$100,Deducciones!$F$2:$F$100,"SI",Deducciones!$G$2:$G$100,"SI",Deducciones!$C$2:$C$100,"PORCENTAJE",Deducciones!$D$2:$D$100,"SUELDO_BASE")+I200*SUMIFS(Deducciones!$E$2:$E$100,Deducciones!$F$2:$F$100,"SI",Deducciones!$G$2:$G$100,"SI",Deducciones!$C$2:$C$100,"PORCENTAJE",Deducciones!$D$2:$D$100,"TOTAL_PERCEPCIONES")))</f>
        <v/>
      </c>
      <c r="K200" s="20" t="str">
        <f>IF($A200="","",IF($N200&lt;&gt;"ACTIVO",0,SUMIFS(Movimientos!$F$2:$F$500,Movimientos!$A$2:$A$500,$B$2,Movimientos!$B$2:$B$500,$A200,Movimientos!$C$2:$C$500,"DEDUCCION")))</f>
        <v/>
      </c>
      <c r="L200" s="20" t="str">
        <f t="shared" si="19"/>
        <v/>
      </c>
      <c r="M200" s="20" t="str">
        <f t="shared" si="20"/>
        <v/>
      </c>
      <c r="N200" s="25" t="str">
        <f>IF($A200="","",INDEX(Empleados!$J$2:$J$201,MATCH($A200,Empleados!$A$2:$A$201,0)))</f>
        <v/>
      </c>
    </row>
    <row r="201" spans="1:14" x14ac:dyDescent="0.45">
      <c r="A201" s="24" t="str">
        <f>IF(ROW()-4&lt;=COUNTA(Empleados!$A$2:$A$201),INDEX(Empleados!$A$2:$A$201,ROW()-4),"")</f>
        <v/>
      </c>
      <c r="B201" s="25" t="str">
        <f>IF($A201="","",INDEX(Empleados!$E$2:$E$201,MATCH($A201,Empleados!$A$2:$A$201,0)))</f>
        <v/>
      </c>
      <c r="C201" s="25" t="str">
        <f>IF($A201="","",INDEX(Empleados!$O$2:$O$201,MATCH($A201,Empleados!$A$2:$A$201,0)))</f>
        <v/>
      </c>
      <c r="D201" s="25" t="str">
        <f>IF($A201="","",INDEX(Empleados!$P$2:$P$201,MATCH($A201,Empleados!$A$2:$A$201,0)))</f>
        <v/>
      </c>
      <c r="E201" s="20" t="str">
        <f>IF($A201="","",IF($N201&lt;&gt;"ACTIVO",0,INDEX(Empleados!$M$2:$M$201,MATCH($A201,Empleados!$A$2:$A$201,0))))</f>
        <v/>
      </c>
      <c r="F201" s="20" t="str">
        <f>IF($A201="","",IF($N201&lt;&gt;"ACTIVO",0,INDEX(Empleados!$N$2:$N$201,MATCH($A201,Empleados!$A$2:$A$201,0))))</f>
        <v/>
      </c>
      <c r="G201" s="20" t="str">
        <f>IF($A201="","",IF($N201&lt;&gt;"ACTIVO",0,SUMIFS(Conceptos_Pago!$E$2:$E$100,Conceptos_Pago!$C$2:$C$100,"FIJO",Conceptos_Pago!$D$2:$D$100,"SI")))</f>
        <v/>
      </c>
      <c r="H201" s="20" t="str">
        <f>IF($A201="","",IF($N201&lt;&gt;"ACTIVO",0,SUMIFS(Movimientos!$F$2:$F$500,Movimientos!$A$2:$A$500,$B$2,Movimientos!$B$2:$B$500,$A201,Movimientos!$C$2:$C$500,"PAGO")))</f>
        <v/>
      </c>
      <c r="I201" s="20" t="str">
        <f t="shared" si="18"/>
        <v/>
      </c>
      <c r="J201" s="20" t="str">
        <f>IF($A201="","",IF($N201&lt;&gt;"ACTIVO",0,SUMIFS(Deducciones!$E$2:$E$100,Deducciones!$F$2:$F$100,"SI",Deducciones!$G$2:$G$100,"SI",Deducciones!$C$2:$C$100,"FIJO")+E201*SUMIFS(Deducciones!$E$2:$E$100,Deducciones!$F$2:$F$100,"SI",Deducciones!$G$2:$G$100,"SI",Deducciones!$C$2:$C$100,"PORCENTAJE",Deducciones!$D$2:$D$100,"SUELDO_BASE")+I201*SUMIFS(Deducciones!$E$2:$E$100,Deducciones!$F$2:$F$100,"SI",Deducciones!$G$2:$G$100,"SI",Deducciones!$C$2:$C$100,"PORCENTAJE",Deducciones!$D$2:$D$100,"TOTAL_PERCEPCIONES")))</f>
        <v/>
      </c>
      <c r="K201" s="20" t="str">
        <f>IF($A201="","",IF($N201&lt;&gt;"ACTIVO",0,SUMIFS(Movimientos!$F$2:$F$500,Movimientos!$A$2:$A$500,$B$2,Movimientos!$B$2:$B$500,$A201,Movimientos!$C$2:$C$500,"DEDUCCION")))</f>
        <v/>
      </c>
      <c r="L201" s="20" t="str">
        <f t="shared" si="19"/>
        <v/>
      </c>
      <c r="M201" s="20" t="str">
        <f t="shared" si="20"/>
        <v/>
      </c>
      <c r="N201" s="25" t="str">
        <f>IF($A201="","",INDEX(Empleados!$J$2:$J$201,MATCH($A201,Empleados!$A$2:$A$201,0)))</f>
        <v/>
      </c>
    </row>
    <row r="202" spans="1:14" x14ac:dyDescent="0.45">
      <c r="A202" s="24" t="str">
        <f>IF(ROW()-4&lt;=COUNTA(Empleados!$A$2:$A$201),INDEX(Empleados!$A$2:$A$201,ROW()-4),"")</f>
        <v/>
      </c>
      <c r="B202" s="25" t="str">
        <f>IF($A202="","",INDEX(Empleados!$E$2:$E$201,MATCH($A202,Empleados!$A$2:$A$201,0)))</f>
        <v/>
      </c>
      <c r="C202" s="25" t="str">
        <f>IF($A202="","",INDEX(Empleados!$O$2:$O$201,MATCH($A202,Empleados!$A$2:$A$201,0)))</f>
        <v/>
      </c>
      <c r="D202" s="25" t="str">
        <f>IF($A202="","",INDEX(Empleados!$P$2:$P$201,MATCH($A202,Empleados!$A$2:$A$201,0)))</f>
        <v/>
      </c>
      <c r="E202" s="20" t="str">
        <f>IF($A202="","",IF($N202&lt;&gt;"ACTIVO",0,INDEX(Empleados!$M$2:$M$201,MATCH($A202,Empleados!$A$2:$A$201,0))))</f>
        <v/>
      </c>
      <c r="F202" s="20" t="str">
        <f>IF($A202="","",IF($N202&lt;&gt;"ACTIVO",0,INDEX(Empleados!$N$2:$N$201,MATCH($A202,Empleados!$A$2:$A$201,0))))</f>
        <v/>
      </c>
      <c r="G202" s="20" t="str">
        <f>IF($A202="","",IF($N202&lt;&gt;"ACTIVO",0,SUMIFS(Conceptos_Pago!$E$2:$E$100,Conceptos_Pago!$C$2:$C$100,"FIJO",Conceptos_Pago!$D$2:$D$100,"SI")))</f>
        <v/>
      </c>
      <c r="H202" s="20" t="str">
        <f>IF($A202="","",IF($N202&lt;&gt;"ACTIVO",0,SUMIFS(Movimientos!$F$2:$F$500,Movimientos!$A$2:$A$500,$B$2,Movimientos!$B$2:$B$500,$A202,Movimientos!$C$2:$C$500,"PAGO")))</f>
        <v/>
      </c>
      <c r="I202" s="20" t="str">
        <f t="shared" si="18"/>
        <v/>
      </c>
      <c r="J202" s="20" t="str">
        <f>IF($A202="","",IF($N202&lt;&gt;"ACTIVO",0,SUMIFS(Deducciones!$E$2:$E$100,Deducciones!$F$2:$F$100,"SI",Deducciones!$G$2:$G$100,"SI",Deducciones!$C$2:$C$100,"FIJO")+E202*SUMIFS(Deducciones!$E$2:$E$100,Deducciones!$F$2:$F$100,"SI",Deducciones!$G$2:$G$100,"SI",Deducciones!$C$2:$C$100,"PORCENTAJE",Deducciones!$D$2:$D$100,"SUELDO_BASE")+I202*SUMIFS(Deducciones!$E$2:$E$100,Deducciones!$F$2:$F$100,"SI",Deducciones!$G$2:$G$100,"SI",Deducciones!$C$2:$C$100,"PORCENTAJE",Deducciones!$D$2:$D$100,"TOTAL_PERCEPCIONES")))</f>
        <v/>
      </c>
      <c r="K202" s="20" t="str">
        <f>IF($A202="","",IF($N202&lt;&gt;"ACTIVO",0,SUMIFS(Movimientos!$F$2:$F$500,Movimientos!$A$2:$A$500,$B$2,Movimientos!$B$2:$B$500,$A202,Movimientos!$C$2:$C$500,"DEDUCCION")))</f>
        <v/>
      </c>
      <c r="L202" s="20" t="str">
        <f t="shared" si="19"/>
        <v/>
      </c>
      <c r="M202" s="20" t="str">
        <f t="shared" si="20"/>
        <v/>
      </c>
      <c r="N202" s="25" t="str">
        <f>IF($A202="","",INDEX(Empleados!$J$2:$J$201,MATCH($A202,Empleados!$A$2:$A$201,0)))</f>
        <v/>
      </c>
    </row>
    <row r="203" spans="1:14" x14ac:dyDescent="0.45">
      <c r="A203" s="24" t="str">
        <f>IF(ROW()-4&lt;=COUNTA(Empleados!$A$2:$A$201),INDEX(Empleados!$A$2:$A$201,ROW()-4),"")</f>
        <v/>
      </c>
      <c r="B203" s="25" t="str">
        <f>IF($A203="","",INDEX(Empleados!$E$2:$E$201,MATCH($A203,Empleados!$A$2:$A$201,0)))</f>
        <v/>
      </c>
      <c r="C203" s="25" t="str">
        <f>IF($A203="","",INDEX(Empleados!$O$2:$O$201,MATCH($A203,Empleados!$A$2:$A$201,0)))</f>
        <v/>
      </c>
      <c r="D203" s="25" t="str">
        <f>IF($A203="","",INDEX(Empleados!$P$2:$P$201,MATCH($A203,Empleados!$A$2:$A$201,0)))</f>
        <v/>
      </c>
      <c r="E203" s="20" t="str">
        <f>IF($A203="","",IF($N203&lt;&gt;"ACTIVO",0,INDEX(Empleados!$M$2:$M$201,MATCH($A203,Empleados!$A$2:$A$201,0))))</f>
        <v/>
      </c>
      <c r="F203" s="20" t="str">
        <f>IF($A203="","",IF($N203&lt;&gt;"ACTIVO",0,INDEX(Empleados!$N$2:$N$201,MATCH($A203,Empleados!$A$2:$A$201,0))))</f>
        <v/>
      </c>
      <c r="G203" s="20" t="str">
        <f>IF($A203="","",IF($N203&lt;&gt;"ACTIVO",0,SUMIFS(Conceptos_Pago!$E$2:$E$100,Conceptos_Pago!$C$2:$C$100,"FIJO",Conceptos_Pago!$D$2:$D$100,"SI")))</f>
        <v/>
      </c>
      <c r="H203" s="20" t="str">
        <f>IF($A203="","",IF($N203&lt;&gt;"ACTIVO",0,SUMIFS(Movimientos!$F$2:$F$500,Movimientos!$A$2:$A$500,$B$2,Movimientos!$B$2:$B$500,$A203,Movimientos!$C$2:$C$500,"PAGO")))</f>
        <v/>
      </c>
      <c r="I203" s="20" t="str">
        <f t="shared" si="18"/>
        <v/>
      </c>
      <c r="J203" s="20" t="str">
        <f>IF($A203="","",IF($N203&lt;&gt;"ACTIVO",0,SUMIFS(Deducciones!$E$2:$E$100,Deducciones!$F$2:$F$100,"SI",Deducciones!$G$2:$G$100,"SI",Deducciones!$C$2:$C$100,"FIJO")+E203*SUMIFS(Deducciones!$E$2:$E$100,Deducciones!$F$2:$F$100,"SI",Deducciones!$G$2:$G$100,"SI",Deducciones!$C$2:$C$100,"PORCENTAJE",Deducciones!$D$2:$D$100,"SUELDO_BASE")+I203*SUMIFS(Deducciones!$E$2:$E$100,Deducciones!$F$2:$F$100,"SI",Deducciones!$G$2:$G$100,"SI",Deducciones!$C$2:$C$100,"PORCENTAJE",Deducciones!$D$2:$D$100,"TOTAL_PERCEPCIONES")))</f>
        <v/>
      </c>
      <c r="K203" s="20" t="str">
        <f>IF($A203="","",IF($N203&lt;&gt;"ACTIVO",0,SUMIFS(Movimientos!$F$2:$F$500,Movimientos!$A$2:$A$500,$B$2,Movimientos!$B$2:$B$500,$A203,Movimientos!$C$2:$C$500,"DEDUCCION")))</f>
        <v/>
      </c>
      <c r="L203" s="20" t="str">
        <f t="shared" si="19"/>
        <v/>
      </c>
      <c r="M203" s="20" t="str">
        <f t="shared" si="20"/>
        <v/>
      </c>
      <c r="N203" s="25" t="str">
        <f>IF($A203="","",INDEX(Empleados!$J$2:$J$201,MATCH($A203,Empleados!$A$2:$A$201,0)))</f>
        <v/>
      </c>
    </row>
    <row r="204" spans="1:14" x14ac:dyDescent="0.45">
      <c r="A204" s="24" t="str">
        <f>IF(ROW()-4&lt;=COUNTA(Empleados!$A$2:$A$201),INDEX(Empleados!$A$2:$A$201,ROW()-4),"")</f>
        <v/>
      </c>
      <c r="B204" s="25" t="str">
        <f>IF($A204="","",INDEX(Empleados!$E$2:$E$201,MATCH($A204,Empleados!$A$2:$A$201,0)))</f>
        <v/>
      </c>
      <c r="C204" s="25" t="str">
        <f>IF($A204="","",INDEX(Empleados!$O$2:$O$201,MATCH($A204,Empleados!$A$2:$A$201,0)))</f>
        <v/>
      </c>
      <c r="D204" s="25" t="str">
        <f>IF($A204="","",INDEX(Empleados!$P$2:$P$201,MATCH($A204,Empleados!$A$2:$A$201,0)))</f>
        <v/>
      </c>
      <c r="E204" s="20" t="str">
        <f>IF($A204="","",IF($N204&lt;&gt;"ACTIVO",0,INDEX(Empleados!$M$2:$M$201,MATCH($A204,Empleados!$A$2:$A$201,0))))</f>
        <v/>
      </c>
      <c r="F204" s="20" t="str">
        <f>IF($A204="","",IF($N204&lt;&gt;"ACTIVO",0,INDEX(Empleados!$N$2:$N$201,MATCH($A204,Empleados!$A$2:$A$201,0))))</f>
        <v/>
      </c>
      <c r="G204" s="20" t="str">
        <f>IF($A204="","",IF($N204&lt;&gt;"ACTIVO",0,SUMIFS(Conceptos_Pago!$E$2:$E$100,Conceptos_Pago!$C$2:$C$100,"FIJO",Conceptos_Pago!$D$2:$D$100,"SI")))</f>
        <v/>
      </c>
      <c r="H204" s="20" t="str">
        <f>IF($A204="","",IF($N204&lt;&gt;"ACTIVO",0,SUMIFS(Movimientos!$F$2:$F$500,Movimientos!$A$2:$A$500,$B$2,Movimientos!$B$2:$B$500,$A204,Movimientos!$C$2:$C$500,"PAGO")))</f>
        <v/>
      </c>
      <c r="I204" s="20" t="str">
        <f t="shared" si="18"/>
        <v/>
      </c>
      <c r="J204" s="20" t="str">
        <f>IF($A204="","",IF($N204&lt;&gt;"ACTIVO",0,SUMIFS(Deducciones!$E$2:$E$100,Deducciones!$F$2:$F$100,"SI",Deducciones!$G$2:$G$100,"SI",Deducciones!$C$2:$C$100,"FIJO")+E204*SUMIFS(Deducciones!$E$2:$E$100,Deducciones!$F$2:$F$100,"SI",Deducciones!$G$2:$G$100,"SI",Deducciones!$C$2:$C$100,"PORCENTAJE",Deducciones!$D$2:$D$100,"SUELDO_BASE")+I204*SUMIFS(Deducciones!$E$2:$E$100,Deducciones!$F$2:$F$100,"SI",Deducciones!$G$2:$G$100,"SI",Deducciones!$C$2:$C$100,"PORCENTAJE",Deducciones!$D$2:$D$100,"TOTAL_PERCEPCIONES")))</f>
        <v/>
      </c>
      <c r="K204" s="20" t="str">
        <f>IF($A204="","",IF($N204&lt;&gt;"ACTIVO",0,SUMIFS(Movimientos!$F$2:$F$500,Movimientos!$A$2:$A$500,$B$2,Movimientos!$B$2:$B$500,$A204,Movimientos!$C$2:$C$500,"DEDUCCION")))</f>
        <v/>
      </c>
      <c r="L204" s="20" t="str">
        <f t="shared" si="19"/>
        <v/>
      </c>
      <c r="M204" s="20" t="str">
        <f t="shared" si="20"/>
        <v/>
      </c>
      <c r="N204" s="25" t="str">
        <f>IF($A204="","",INDEX(Empleados!$J$2:$J$201,MATCH($A204,Empleados!$A$2:$A$201,0)))</f>
        <v/>
      </c>
    </row>
    <row r="205" spans="1:14" x14ac:dyDescent="0.45">
      <c r="E205" s="26"/>
      <c r="F205" s="26"/>
      <c r="G205" s="26"/>
      <c r="H205" s="26"/>
      <c r="I205" s="26"/>
      <c r="J205" s="26"/>
      <c r="K205" s="26"/>
      <c r="L205" s="26"/>
      <c r="M205" s="26"/>
    </row>
    <row r="206" spans="1:14" x14ac:dyDescent="0.45">
      <c r="A206" s="3" t="s">
        <v>225</v>
      </c>
      <c r="B206" s="3"/>
      <c r="C206" s="3"/>
      <c r="D206" s="3"/>
      <c r="E206" s="27">
        <f t="shared" ref="E206:M206" si="21">SUM(E5:E204)</f>
        <v>58000</v>
      </c>
      <c r="F206" s="27">
        <f t="shared" si="21"/>
        <v>5500</v>
      </c>
      <c r="G206" s="27">
        <f t="shared" si="21"/>
        <v>4500</v>
      </c>
      <c r="H206" s="27">
        <f t="shared" si="21"/>
        <v>2220</v>
      </c>
      <c r="I206" s="27">
        <f t="shared" si="21"/>
        <v>70220</v>
      </c>
      <c r="J206" s="27">
        <f t="shared" si="21"/>
        <v>8472</v>
      </c>
      <c r="K206" s="27">
        <f t="shared" si="21"/>
        <v>900</v>
      </c>
      <c r="L206" s="27">
        <f t="shared" si="21"/>
        <v>9372</v>
      </c>
      <c r="M206" s="27">
        <f t="shared" si="21"/>
        <v>60848</v>
      </c>
      <c r="N206" s="3"/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"/>
  <sheetViews>
    <sheetView workbookViewId="0"/>
  </sheetViews>
  <sheetFormatPr baseColWidth="10" defaultColWidth="9.06640625" defaultRowHeight="14.25" x14ac:dyDescent="0.45"/>
  <sheetData>
    <row r="1" spans="1:16" x14ac:dyDescent="0.45">
      <c r="A1" t="s" s="0">
        <v>0</v>
      </c>
      <c r="B1" t="s" s="0">
        <v>1</v>
      </c>
      <c r="C1" t="s" s="0">
        <v>2</v>
      </c>
      <c r="D1" t="s" s="0">
        <v>12</v>
      </c>
      <c r="E1" t="s" s="0">
        <v>13</v>
      </c>
      <c r="F1" t="s" s="0">
        <v>14</v>
      </c>
      <c r="G1" t="s" s="0">
        <v>15</v>
      </c>
      <c r="H1" t="s" s="0">
        <v>16</v>
      </c>
      <c r="I1" t="s" s="0">
        <v>17</v>
      </c>
      <c r="J1" t="s" s="0">
        <v>18</v>
      </c>
      <c r="K1" t="s" s="0">
        <v>19</v>
      </c>
      <c r="L1" t="s" s="0">
        <v>20</v>
      </c>
      <c r="M1" t="s" s="0">
        <v>21</v>
      </c>
      <c r="N1" t="s" s="0">
        <v>22</v>
      </c>
      <c r="O1" t="s" s="0">
        <v>23</v>
      </c>
      <c r="P1" t="s" s="0">
        <v>24</v>
      </c>
    </row>
    <row r="2" spans="1:16" x14ac:dyDescent="0.45">
      <c r="A2" t="s" s="0">
        <v>3</v>
      </c>
      <c r="B2" t="s" s="0">
        <v>4</v>
      </c>
      <c r="C2" t="s" s="0">
        <v>5</v>
      </c>
      <c r="D2" t="s" s="0">
        <v>25</v>
      </c>
      <c r="E2" t="s" s="0">
        <v>25</v>
      </c>
      <c r="F2" t="s" s="0">
        <v>25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25</v>
      </c>
      <c r="L2" t="s" s="0">
        <v>25</v>
      </c>
      <c r="M2" t="s" s="0">
        <v>25</v>
      </c>
      <c r="N2" t="s" s="0">
        <v>25</v>
      </c>
      <c r="O2" t="s" s="0">
        <v>25</v>
      </c>
      <c r="P2" t="s" s="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README</vt:lpstr>
      <vt:lpstr>Configuracion</vt:lpstr>
      <vt:lpstr>Puestos</vt:lpstr>
      <vt:lpstr>Plazas</vt:lpstr>
      <vt:lpstr>Conceptos_Pago</vt:lpstr>
      <vt:lpstr>Deducciones</vt:lpstr>
      <vt:lpstr>Empleados</vt:lpstr>
      <vt:lpstr>Movimientos</vt:lpstr>
      <vt:lpstr>Calculo_Individual</vt:lpstr>
      <vt:lpstr>Nomina_General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Abel Martínez Chávez</cp:lastModifiedBy>
  <dcterms:modified xsi:type="dcterms:W3CDTF">2026-03-27T13:25:38Z</dcterms:modified>
</cp:coreProperties>
</file>